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64367D3A-DBD2-4ED0-8464-581C45C0E8FA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NMOS" sheetId="1" r:id="rId1"/>
    <sheet name="PMO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58" i="2" l="1"/>
  <c r="E258" i="2" s="1"/>
  <c r="B258" i="2"/>
  <c r="D258" i="2" s="1"/>
  <c r="F258" i="2" s="1"/>
  <c r="E257" i="2"/>
  <c r="D257" i="2"/>
  <c r="F257" i="2" s="1"/>
  <c r="C257" i="2"/>
  <c r="B257" i="2"/>
  <c r="C256" i="2"/>
  <c r="E256" i="2" s="1"/>
  <c r="B256" i="2"/>
  <c r="D256" i="2" s="1"/>
  <c r="F256" i="2" s="1"/>
  <c r="C255" i="2"/>
  <c r="B255" i="2"/>
  <c r="E255" i="2" s="1"/>
  <c r="E254" i="2"/>
  <c r="D254" i="2"/>
  <c r="F254" i="2" s="1"/>
  <c r="C254" i="2"/>
  <c r="B254" i="2"/>
  <c r="C253" i="2"/>
  <c r="B253" i="2"/>
  <c r="D253" i="2" s="1"/>
  <c r="F253" i="2" s="1"/>
  <c r="E252" i="2"/>
  <c r="C252" i="2"/>
  <c r="B252" i="2"/>
  <c r="D252" i="2" s="1"/>
  <c r="F252" i="2" s="1"/>
  <c r="C251" i="2"/>
  <c r="E251" i="2" s="1"/>
  <c r="B251" i="2"/>
  <c r="D251" i="2" s="1"/>
  <c r="F251" i="2" s="1"/>
  <c r="C250" i="2"/>
  <c r="B250" i="2"/>
  <c r="E250" i="2" s="1"/>
  <c r="C249" i="2"/>
  <c r="E249" i="2" s="1"/>
  <c r="B249" i="2"/>
  <c r="D249" i="2" s="1"/>
  <c r="F249" i="2" s="1"/>
  <c r="C248" i="2"/>
  <c r="B248" i="2"/>
  <c r="E248" i="2" s="1"/>
  <c r="F247" i="2"/>
  <c r="E247" i="2"/>
  <c r="D247" i="2"/>
  <c r="C247" i="2"/>
  <c r="B247" i="2"/>
  <c r="C246" i="2"/>
  <c r="E246" i="2" s="1"/>
  <c r="B246" i="2"/>
  <c r="D246" i="2" s="1"/>
  <c r="F246" i="2" s="1"/>
  <c r="F245" i="2"/>
  <c r="D245" i="2"/>
  <c r="C245" i="2"/>
  <c r="E245" i="2" s="1"/>
  <c r="B245" i="2"/>
  <c r="F244" i="2"/>
  <c r="E244" i="2"/>
  <c r="D244" i="2"/>
  <c r="C244" i="2"/>
  <c r="B244" i="2"/>
  <c r="D243" i="2"/>
  <c r="F243" i="2" s="1"/>
  <c r="C243" i="2"/>
  <c r="E243" i="2" s="1"/>
  <c r="B243" i="2"/>
  <c r="D242" i="2"/>
  <c r="F242" i="2" s="1"/>
  <c r="C242" i="2"/>
  <c r="E242" i="2" s="1"/>
  <c r="B242" i="2"/>
  <c r="F241" i="2"/>
  <c r="D241" i="2"/>
  <c r="C241" i="2"/>
  <c r="E241" i="2" s="1"/>
  <c r="B241" i="2"/>
  <c r="C240" i="2"/>
  <c r="B240" i="2"/>
  <c r="D240" i="2" s="1"/>
  <c r="F240" i="2" s="1"/>
  <c r="F239" i="2"/>
  <c r="E239" i="2"/>
  <c r="D239" i="2"/>
  <c r="C239" i="2"/>
  <c r="B239" i="2"/>
  <c r="E238" i="2"/>
  <c r="D238" i="2"/>
  <c r="F238" i="2" s="1"/>
  <c r="C238" i="2"/>
  <c r="B238" i="2"/>
  <c r="C237" i="2"/>
  <c r="E237" i="2" s="1"/>
  <c r="B237" i="2"/>
  <c r="D237" i="2" s="1"/>
  <c r="F237" i="2" s="1"/>
  <c r="C236" i="2"/>
  <c r="B236" i="2"/>
  <c r="E236" i="2" s="1"/>
  <c r="C235" i="2"/>
  <c r="B235" i="2"/>
  <c r="D235" i="2" s="1"/>
  <c r="F235" i="2" s="1"/>
  <c r="C234" i="2"/>
  <c r="B234" i="2"/>
  <c r="E234" i="2" s="1"/>
  <c r="C233" i="2"/>
  <c r="E233" i="2" s="1"/>
  <c r="B233" i="2"/>
  <c r="D233" i="2" s="1"/>
  <c r="F233" i="2" s="1"/>
  <c r="D232" i="2"/>
  <c r="F232" i="2" s="1"/>
  <c r="C232" i="2"/>
  <c r="E232" i="2" s="1"/>
  <c r="B232" i="2"/>
  <c r="F231" i="2"/>
  <c r="E231" i="2"/>
  <c r="D231" i="2"/>
  <c r="C231" i="2"/>
  <c r="B231" i="2"/>
  <c r="C230" i="2"/>
  <c r="E230" i="2" s="1"/>
  <c r="B230" i="2"/>
  <c r="D230" i="2" s="1"/>
  <c r="F230" i="2" s="1"/>
  <c r="C229" i="2"/>
  <c r="B229" i="2"/>
  <c r="E229" i="2" s="1"/>
  <c r="F228" i="2"/>
  <c r="E228" i="2"/>
  <c r="D228" i="2"/>
  <c r="C228" i="2"/>
  <c r="B228" i="2"/>
  <c r="D227" i="2"/>
  <c r="F227" i="2" s="1"/>
  <c r="C227" i="2"/>
  <c r="E227" i="2" s="1"/>
  <c r="B227" i="2"/>
  <c r="C226" i="2"/>
  <c r="E226" i="2" s="1"/>
  <c r="B226" i="2"/>
  <c r="D226" i="2" s="1"/>
  <c r="F226" i="2" s="1"/>
  <c r="D225" i="2"/>
  <c r="F225" i="2" s="1"/>
  <c r="C225" i="2"/>
  <c r="E225" i="2" s="1"/>
  <c r="B225" i="2"/>
  <c r="C224" i="2"/>
  <c r="B224" i="2"/>
  <c r="D224" i="2" s="1"/>
  <c r="F224" i="2" s="1"/>
  <c r="E223" i="2"/>
  <c r="D223" i="2"/>
  <c r="F223" i="2" s="1"/>
  <c r="C223" i="2"/>
  <c r="B223" i="2"/>
  <c r="D222" i="2"/>
  <c r="F222" i="2" s="1"/>
  <c r="C222" i="2"/>
  <c r="E222" i="2" s="1"/>
  <c r="B222" i="2"/>
  <c r="C221" i="2"/>
  <c r="B221" i="2"/>
  <c r="D221" i="2" s="1"/>
  <c r="F221" i="2" s="1"/>
  <c r="C220" i="2"/>
  <c r="B220" i="2"/>
  <c r="D220" i="2" s="1"/>
  <c r="F220" i="2" s="1"/>
  <c r="E219" i="2"/>
  <c r="C219" i="2"/>
  <c r="B219" i="2"/>
  <c r="D219" i="2" s="1"/>
  <c r="F219" i="2" s="1"/>
  <c r="C218" i="2"/>
  <c r="B218" i="2"/>
  <c r="E218" i="2" s="1"/>
  <c r="D217" i="2"/>
  <c r="F217" i="2" s="1"/>
  <c r="C217" i="2"/>
  <c r="E217" i="2" s="1"/>
  <c r="B217" i="2"/>
  <c r="C216" i="2"/>
  <c r="E216" i="2" s="1"/>
  <c r="B216" i="2"/>
  <c r="D216" i="2" s="1"/>
  <c r="F216" i="2" s="1"/>
  <c r="F215" i="2"/>
  <c r="E215" i="2"/>
  <c r="D215" i="2"/>
  <c r="C215" i="2"/>
  <c r="B215" i="2"/>
  <c r="C214" i="2"/>
  <c r="B214" i="2"/>
  <c r="E214" i="2" s="1"/>
  <c r="C213" i="2"/>
  <c r="B213" i="2"/>
  <c r="D213" i="2" s="1"/>
  <c r="F213" i="2" s="1"/>
  <c r="F212" i="2"/>
  <c r="E212" i="2"/>
  <c r="D212" i="2"/>
  <c r="C212" i="2"/>
  <c r="B212" i="2"/>
  <c r="C211" i="2"/>
  <c r="B211" i="2"/>
  <c r="D211" i="2" s="1"/>
  <c r="F211" i="2" s="1"/>
  <c r="D210" i="2"/>
  <c r="F210" i="2" s="1"/>
  <c r="C210" i="2"/>
  <c r="E210" i="2" s="1"/>
  <c r="B210" i="2"/>
  <c r="D209" i="2"/>
  <c r="F209" i="2" s="1"/>
  <c r="C209" i="2"/>
  <c r="E209" i="2" s="1"/>
  <c r="B209" i="2"/>
  <c r="C208" i="2"/>
  <c r="B208" i="2"/>
  <c r="D208" i="2" s="1"/>
  <c r="F208" i="2" s="1"/>
  <c r="D207" i="2"/>
  <c r="F207" i="2" s="1"/>
  <c r="C207" i="2"/>
  <c r="E207" i="2" s="1"/>
  <c r="B207" i="2"/>
  <c r="E206" i="2"/>
  <c r="D206" i="2"/>
  <c r="F206" i="2" s="1"/>
  <c r="C206" i="2"/>
  <c r="B206" i="2"/>
  <c r="C205" i="2"/>
  <c r="B205" i="2"/>
  <c r="D205" i="2" s="1"/>
  <c r="F205" i="2" s="1"/>
  <c r="E204" i="2"/>
  <c r="C204" i="2"/>
  <c r="B204" i="2"/>
  <c r="D204" i="2" s="1"/>
  <c r="F204" i="2" s="1"/>
  <c r="E203" i="2"/>
  <c r="D203" i="2"/>
  <c r="F203" i="2" s="1"/>
  <c r="C203" i="2"/>
  <c r="B203" i="2"/>
  <c r="C202" i="2"/>
  <c r="B202" i="2"/>
  <c r="E202" i="2" s="1"/>
  <c r="C201" i="2"/>
  <c r="E201" i="2" s="1"/>
  <c r="B201" i="2"/>
  <c r="D201" i="2" s="1"/>
  <c r="F201" i="2" s="1"/>
  <c r="C200" i="2"/>
  <c r="B200" i="2"/>
  <c r="E200" i="2" s="1"/>
  <c r="F199" i="2"/>
  <c r="E199" i="2"/>
  <c r="D199" i="2"/>
  <c r="C199" i="2"/>
  <c r="B199" i="2"/>
  <c r="C198" i="2"/>
  <c r="B198" i="2"/>
  <c r="D198" i="2" s="1"/>
  <c r="F198" i="2" s="1"/>
  <c r="E197" i="2"/>
  <c r="C197" i="2"/>
  <c r="B197" i="2"/>
  <c r="D197" i="2" s="1"/>
  <c r="F197" i="2" s="1"/>
  <c r="E196" i="2"/>
  <c r="D196" i="2"/>
  <c r="F196" i="2" s="1"/>
  <c r="C196" i="2"/>
  <c r="B196" i="2"/>
  <c r="D195" i="2"/>
  <c r="F195" i="2" s="1"/>
  <c r="C195" i="2"/>
  <c r="B195" i="2"/>
  <c r="C194" i="2"/>
  <c r="E194" i="2" s="1"/>
  <c r="B194" i="2"/>
  <c r="D194" i="2" s="1"/>
  <c r="F194" i="2" s="1"/>
  <c r="E193" i="2"/>
  <c r="D193" i="2"/>
  <c r="F193" i="2" s="1"/>
  <c r="C193" i="2"/>
  <c r="B193" i="2"/>
  <c r="C192" i="2"/>
  <c r="E192" i="2" s="1"/>
  <c r="B192" i="2"/>
  <c r="D192" i="2" s="1"/>
  <c r="F192" i="2" s="1"/>
  <c r="E191" i="2"/>
  <c r="D191" i="2"/>
  <c r="F191" i="2" s="1"/>
  <c r="C191" i="2"/>
  <c r="B191" i="2"/>
  <c r="D190" i="2"/>
  <c r="F190" i="2" s="1"/>
  <c r="C190" i="2"/>
  <c r="E190" i="2" s="1"/>
  <c r="B190" i="2"/>
  <c r="C189" i="2"/>
  <c r="E189" i="2" s="1"/>
  <c r="B189" i="2"/>
  <c r="D189" i="2" s="1"/>
  <c r="F189" i="2" s="1"/>
  <c r="E188" i="2"/>
  <c r="D188" i="2"/>
  <c r="F188" i="2" s="1"/>
  <c r="C188" i="2"/>
  <c r="B188" i="2"/>
  <c r="F187" i="2"/>
  <c r="E187" i="2"/>
  <c r="D187" i="2"/>
  <c r="C187" i="2"/>
  <c r="B187" i="2"/>
  <c r="C186" i="2"/>
  <c r="B186" i="2"/>
  <c r="E186" i="2" s="1"/>
  <c r="C185" i="2"/>
  <c r="B185" i="2"/>
  <c r="E185" i="2" s="1"/>
  <c r="C184" i="2"/>
  <c r="E184" i="2" s="1"/>
  <c r="B184" i="2"/>
  <c r="D184" i="2" s="1"/>
  <c r="F184" i="2" s="1"/>
  <c r="F183" i="2"/>
  <c r="E183" i="2"/>
  <c r="D183" i="2"/>
  <c r="C183" i="2"/>
  <c r="B183" i="2"/>
  <c r="E182" i="2"/>
  <c r="C182" i="2"/>
  <c r="B182" i="2"/>
  <c r="D182" i="2" s="1"/>
  <c r="F182" i="2" s="1"/>
  <c r="E181" i="2"/>
  <c r="D181" i="2"/>
  <c r="F181" i="2" s="1"/>
  <c r="C181" i="2"/>
  <c r="B181" i="2"/>
  <c r="F180" i="2"/>
  <c r="E180" i="2"/>
  <c r="D180" i="2"/>
  <c r="C180" i="2"/>
  <c r="B180" i="2"/>
  <c r="C179" i="2"/>
  <c r="B179" i="2"/>
  <c r="D179" i="2" s="1"/>
  <c r="F179" i="2" s="1"/>
  <c r="C178" i="2"/>
  <c r="B178" i="2"/>
  <c r="E178" i="2" s="1"/>
  <c r="F177" i="2"/>
  <c r="D177" i="2"/>
  <c r="C177" i="2"/>
  <c r="E177" i="2" s="1"/>
  <c r="B177" i="2"/>
  <c r="C176" i="2"/>
  <c r="E176" i="2" s="1"/>
  <c r="B176" i="2"/>
  <c r="D176" i="2" s="1"/>
  <c r="F176" i="2" s="1"/>
  <c r="D175" i="2"/>
  <c r="F175" i="2" s="1"/>
  <c r="C175" i="2"/>
  <c r="E175" i="2" s="1"/>
  <c r="B175" i="2"/>
  <c r="C174" i="2"/>
  <c r="E174" i="2" s="1"/>
  <c r="B174" i="2"/>
  <c r="D174" i="2" s="1"/>
  <c r="F174" i="2" s="1"/>
  <c r="C173" i="2"/>
  <c r="B173" i="2"/>
  <c r="D173" i="2" s="1"/>
  <c r="F173" i="2" s="1"/>
  <c r="F172" i="2"/>
  <c r="E172" i="2"/>
  <c r="D172" i="2"/>
  <c r="C172" i="2"/>
  <c r="B172" i="2"/>
  <c r="E171" i="2"/>
  <c r="D171" i="2"/>
  <c r="F171" i="2" s="1"/>
  <c r="C171" i="2"/>
  <c r="B171" i="2"/>
  <c r="C170" i="2"/>
  <c r="B170" i="2"/>
  <c r="E170" i="2" s="1"/>
  <c r="C169" i="2"/>
  <c r="E169" i="2" s="1"/>
  <c r="B169" i="2"/>
  <c r="D169" i="2" s="1"/>
  <c r="F169" i="2" s="1"/>
  <c r="C168" i="2"/>
  <c r="E168" i="2" s="1"/>
  <c r="B168" i="2"/>
  <c r="D168" i="2" s="1"/>
  <c r="F168" i="2" s="1"/>
  <c r="F167" i="2"/>
  <c r="E167" i="2"/>
  <c r="D167" i="2"/>
  <c r="C167" i="2"/>
  <c r="B167" i="2"/>
  <c r="E166" i="2"/>
  <c r="D166" i="2"/>
  <c r="F166" i="2" s="1"/>
  <c r="C166" i="2"/>
  <c r="B166" i="2"/>
  <c r="F165" i="2"/>
  <c r="E165" i="2"/>
  <c r="D165" i="2"/>
  <c r="C165" i="2"/>
  <c r="B165" i="2"/>
  <c r="E164" i="2"/>
  <c r="D164" i="2"/>
  <c r="F164" i="2" s="1"/>
  <c r="C164" i="2"/>
  <c r="B164" i="2"/>
  <c r="C163" i="2"/>
  <c r="B163" i="2"/>
  <c r="D163" i="2" s="1"/>
  <c r="F163" i="2" s="1"/>
  <c r="C162" i="2"/>
  <c r="E162" i="2" s="1"/>
  <c r="B162" i="2"/>
  <c r="D162" i="2" s="1"/>
  <c r="F162" i="2" s="1"/>
  <c r="F161" i="2"/>
  <c r="D161" i="2"/>
  <c r="C161" i="2"/>
  <c r="E161" i="2" s="1"/>
  <c r="B161" i="2"/>
  <c r="C160" i="2"/>
  <c r="E160" i="2" s="1"/>
  <c r="B160" i="2"/>
  <c r="D160" i="2" s="1"/>
  <c r="F160" i="2" s="1"/>
  <c r="C159" i="2"/>
  <c r="E159" i="2" s="1"/>
  <c r="B159" i="2"/>
  <c r="D159" i="2" s="1"/>
  <c r="F159" i="2" s="1"/>
  <c r="D158" i="2"/>
  <c r="F158" i="2" s="1"/>
  <c r="C158" i="2"/>
  <c r="E158" i="2" s="1"/>
  <c r="B158" i="2"/>
  <c r="C157" i="2"/>
  <c r="B157" i="2"/>
  <c r="D157" i="2" s="1"/>
  <c r="F157" i="2" s="1"/>
  <c r="E156" i="2"/>
  <c r="D156" i="2"/>
  <c r="F156" i="2" s="1"/>
  <c r="C156" i="2"/>
  <c r="B156" i="2"/>
  <c r="D155" i="2"/>
  <c r="F155" i="2" s="1"/>
  <c r="C155" i="2"/>
  <c r="E155" i="2" s="1"/>
  <c r="B155" i="2"/>
  <c r="C154" i="2"/>
  <c r="B154" i="2"/>
  <c r="E154" i="2" s="1"/>
  <c r="C153" i="2"/>
  <c r="E153" i="2" s="1"/>
  <c r="B153" i="2"/>
  <c r="D153" i="2" s="1"/>
  <c r="F153" i="2" s="1"/>
  <c r="F152" i="2"/>
  <c r="D152" i="2"/>
  <c r="C152" i="2"/>
  <c r="E152" i="2" s="1"/>
  <c r="B152" i="2"/>
  <c r="F151" i="2"/>
  <c r="E151" i="2"/>
  <c r="D151" i="2"/>
  <c r="C151" i="2"/>
  <c r="B151" i="2"/>
  <c r="E150" i="2"/>
  <c r="D150" i="2"/>
  <c r="F150" i="2" s="1"/>
  <c r="C150" i="2"/>
  <c r="B150" i="2"/>
  <c r="E149" i="2"/>
  <c r="D149" i="2"/>
  <c r="F149" i="2" s="1"/>
  <c r="C149" i="2"/>
  <c r="B149" i="2"/>
  <c r="E148" i="2"/>
  <c r="D148" i="2"/>
  <c r="F148" i="2" s="1"/>
  <c r="C148" i="2"/>
  <c r="B148" i="2"/>
  <c r="C147" i="2"/>
  <c r="E147" i="2" s="1"/>
  <c r="B147" i="2"/>
  <c r="D147" i="2" s="1"/>
  <c r="F147" i="2" s="1"/>
  <c r="C146" i="2"/>
  <c r="E146" i="2" s="1"/>
  <c r="B146" i="2"/>
  <c r="D146" i="2" s="1"/>
  <c r="F146" i="2" s="1"/>
  <c r="F145" i="2"/>
  <c r="D145" i="2"/>
  <c r="C145" i="2"/>
  <c r="E145" i="2" s="1"/>
  <c r="B145" i="2"/>
  <c r="C144" i="2"/>
  <c r="E144" i="2" s="1"/>
  <c r="B144" i="2"/>
  <c r="D144" i="2" s="1"/>
  <c r="F144" i="2" s="1"/>
  <c r="D143" i="2"/>
  <c r="F143" i="2" s="1"/>
  <c r="C143" i="2"/>
  <c r="E143" i="2" s="1"/>
  <c r="B143" i="2"/>
  <c r="C142" i="2"/>
  <c r="E142" i="2" s="1"/>
  <c r="B142" i="2"/>
  <c r="D142" i="2" s="1"/>
  <c r="F142" i="2" s="1"/>
  <c r="C141" i="2"/>
  <c r="B141" i="2"/>
  <c r="D141" i="2" s="1"/>
  <c r="F141" i="2" s="1"/>
  <c r="D140" i="2"/>
  <c r="F140" i="2" s="1"/>
  <c r="C140" i="2"/>
  <c r="E140" i="2" s="1"/>
  <c r="B140" i="2"/>
  <c r="E139" i="2"/>
  <c r="D139" i="2"/>
  <c r="F139" i="2" s="1"/>
  <c r="C139" i="2"/>
  <c r="B139" i="2"/>
  <c r="C138" i="2"/>
  <c r="B138" i="2"/>
  <c r="F137" i="2"/>
  <c r="D137" i="2"/>
  <c r="C137" i="2"/>
  <c r="E137" i="2" s="1"/>
  <c r="B137" i="2"/>
  <c r="C136" i="2"/>
  <c r="B136" i="2"/>
  <c r="E136" i="2" s="1"/>
  <c r="F135" i="2"/>
  <c r="E135" i="2"/>
  <c r="D135" i="2"/>
  <c r="C135" i="2"/>
  <c r="B135" i="2"/>
  <c r="E134" i="2"/>
  <c r="C134" i="2"/>
  <c r="B134" i="2"/>
  <c r="D134" i="2" s="1"/>
  <c r="F134" i="2" s="1"/>
  <c r="E133" i="2"/>
  <c r="D133" i="2"/>
  <c r="F133" i="2" s="1"/>
  <c r="C133" i="2"/>
  <c r="B133" i="2"/>
  <c r="F132" i="2"/>
  <c r="E132" i="2"/>
  <c r="D132" i="2"/>
  <c r="C132" i="2"/>
  <c r="B132" i="2"/>
  <c r="D131" i="2"/>
  <c r="F131" i="2" s="1"/>
  <c r="C131" i="2"/>
  <c r="E131" i="2" s="1"/>
  <c r="B131" i="2"/>
  <c r="C130" i="2"/>
  <c r="E130" i="2" s="1"/>
  <c r="B130" i="2"/>
  <c r="D130" i="2" s="1"/>
  <c r="F130" i="2" s="1"/>
  <c r="D129" i="2"/>
  <c r="F129" i="2" s="1"/>
  <c r="C129" i="2"/>
  <c r="E129" i="2" s="1"/>
  <c r="B129" i="2"/>
  <c r="C128" i="2"/>
  <c r="B128" i="2"/>
  <c r="D128" i="2" s="1"/>
  <c r="F128" i="2" s="1"/>
  <c r="E127" i="2"/>
  <c r="C127" i="2"/>
  <c r="B127" i="2"/>
  <c r="D127" i="2" s="1"/>
  <c r="F127" i="2" s="1"/>
  <c r="E126" i="2"/>
  <c r="D126" i="2"/>
  <c r="F126" i="2" s="1"/>
  <c r="C126" i="2"/>
  <c r="B126" i="2"/>
  <c r="C125" i="2"/>
  <c r="E125" i="2" s="1"/>
  <c r="B125" i="2"/>
  <c r="D125" i="2" s="1"/>
  <c r="F125" i="2" s="1"/>
  <c r="C124" i="2"/>
  <c r="E124" i="2" s="1"/>
  <c r="B124" i="2"/>
  <c r="D124" i="2" s="1"/>
  <c r="F124" i="2" s="1"/>
  <c r="F123" i="2"/>
  <c r="D123" i="2"/>
  <c r="C123" i="2"/>
  <c r="E123" i="2" s="1"/>
  <c r="B123" i="2"/>
  <c r="F122" i="2"/>
  <c r="C122" i="2"/>
  <c r="E122" i="2" s="1"/>
  <c r="B122" i="2"/>
  <c r="D122" i="2" s="1"/>
  <c r="E121" i="2"/>
  <c r="D121" i="2"/>
  <c r="F121" i="2" s="1"/>
  <c r="C121" i="2"/>
  <c r="B121" i="2"/>
  <c r="D120" i="2"/>
  <c r="F120" i="2" s="1"/>
  <c r="C120" i="2"/>
  <c r="E120" i="2" s="1"/>
  <c r="B120" i="2"/>
  <c r="E119" i="2"/>
  <c r="C119" i="2"/>
  <c r="B119" i="2"/>
  <c r="D119" i="2" s="1"/>
  <c r="F119" i="2" s="1"/>
  <c r="C118" i="2"/>
  <c r="E118" i="2" s="1"/>
  <c r="B118" i="2"/>
  <c r="D118" i="2" s="1"/>
  <c r="F118" i="2" s="1"/>
  <c r="C117" i="2"/>
  <c r="E117" i="2" s="1"/>
  <c r="B117" i="2"/>
  <c r="D117" i="2" s="1"/>
  <c r="F117" i="2" s="1"/>
  <c r="F116" i="2"/>
  <c r="E116" i="2"/>
  <c r="D116" i="2"/>
  <c r="C116" i="2"/>
  <c r="B116" i="2"/>
  <c r="E115" i="2"/>
  <c r="D115" i="2"/>
  <c r="F115" i="2" s="1"/>
  <c r="C115" i="2"/>
  <c r="B115" i="2"/>
  <c r="F114" i="2"/>
  <c r="E114" i="2"/>
  <c r="D114" i="2"/>
  <c r="C114" i="2"/>
  <c r="B114" i="2"/>
  <c r="E113" i="2"/>
  <c r="D113" i="2"/>
  <c r="F113" i="2" s="1"/>
  <c r="C113" i="2"/>
  <c r="B113" i="2"/>
  <c r="C112" i="2"/>
  <c r="B112" i="2"/>
  <c r="D112" i="2" s="1"/>
  <c r="F112" i="2" s="1"/>
  <c r="C111" i="2"/>
  <c r="E111" i="2" s="1"/>
  <c r="B111" i="2"/>
  <c r="D111" i="2" s="1"/>
  <c r="F111" i="2" s="1"/>
  <c r="C110" i="2"/>
  <c r="E110" i="2" s="1"/>
  <c r="B110" i="2"/>
  <c r="D110" i="2" s="1"/>
  <c r="F110" i="2" s="1"/>
  <c r="C109" i="2"/>
  <c r="E109" i="2" s="1"/>
  <c r="B109" i="2"/>
  <c r="D109" i="2" s="1"/>
  <c r="F109" i="2" s="1"/>
  <c r="C108" i="2"/>
  <c r="E108" i="2" s="1"/>
  <c r="B108" i="2"/>
  <c r="D108" i="2" s="1"/>
  <c r="F108" i="2" s="1"/>
  <c r="D107" i="2"/>
  <c r="F107" i="2" s="1"/>
  <c r="C107" i="2"/>
  <c r="E107" i="2" s="1"/>
  <c r="B107" i="2"/>
  <c r="C106" i="2"/>
  <c r="B106" i="2"/>
  <c r="D106" i="2" s="1"/>
  <c r="F106" i="2" s="1"/>
  <c r="E105" i="2"/>
  <c r="C105" i="2"/>
  <c r="B105" i="2"/>
  <c r="D105" i="2" s="1"/>
  <c r="F105" i="2" s="1"/>
  <c r="E104" i="2"/>
  <c r="D104" i="2"/>
  <c r="F104" i="2" s="1"/>
  <c r="C104" i="2"/>
  <c r="B104" i="2"/>
  <c r="F103" i="2"/>
  <c r="E103" i="2"/>
  <c r="C103" i="2"/>
  <c r="B103" i="2"/>
  <c r="D103" i="2" s="1"/>
  <c r="D102" i="2"/>
  <c r="F102" i="2" s="1"/>
  <c r="C102" i="2"/>
  <c r="E102" i="2" s="1"/>
  <c r="B102" i="2"/>
  <c r="C101" i="2"/>
  <c r="E101" i="2" s="1"/>
  <c r="B101" i="2"/>
  <c r="D101" i="2" s="1"/>
  <c r="F101" i="2" s="1"/>
  <c r="E100" i="2"/>
  <c r="D100" i="2"/>
  <c r="F100" i="2" s="1"/>
  <c r="C100" i="2"/>
  <c r="B100" i="2"/>
  <c r="C99" i="2"/>
  <c r="E99" i="2" s="1"/>
  <c r="B99" i="2"/>
  <c r="D99" i="2" s="1"/>
  <c r="F99" i="2" s="1"/>
  <c r="F98" i="2"/>
  <c r="E98" i="2"/>
  <c r="D98" i="2"/>
  <c r="C98" i="2"/>
  <c r="B98" i="2"/>
  <c r="F97" i="2"/>
  <c r="E97" i="2"/>
  <c r="D97" i="2"/>
  <c r="C97" i="2"/>
  <c r="B97" i="2"/>
  <c r="D96" i="2"/>
  <c r="F96" i="2" s="1"/>
  <c r="C96" i="2"/>
  <c r="E96" i="2" s="1"/>
  <c r="B96" i="2"/>
  <c r="D95" i="2"/>
  <c r="F95" i="2" s="1"/>
  <c r="C95" i="2"/>
  <c r="E95" i="2" s="1"/>
  <c r="B95" i="2"/>
  <c r="C94" i="2"/>
  <c r="E94" i="2" s="1"/>
  <c r="B94" i="2"/>
  <c r="D94" i="2" s="1"/>
  <c r="F94" i="2" s="1"/>
  <c r="C93" i="2"/>
  <c r="B93" i="2"/>
  <c r="D93" i="2" s="1"/>
  <c r="F93" i="2" s="1"/>
  <c r="F92" i="2"/>
  <c r="E92" i="2"/>
  <c r="D92" i="2"/>
  <c r="C92" i="2"/>
  <c r="B92" i="2"/>
  <c r="E91" i="2"/>
  <c r="D91" i="2"/>
  <c r="F91" i="2" s="1"/>
  <c r="C91" i="2"/>
  <c r="B91" i="2"/>
  <c r="C90" i="2"/>
  <c r="B90" i="2"/>
  <c r="D90" i="2" s="1"/>
  <c r="F90" i="2" s="1"/>
  <c r="C89" i="2"/>
  <c r="E89" i="2" s="1"/>
  <c r="B89" i="2"/>
  <c r="D89" i="2" s="1"/>
  <c r="F89" i="2" s="1"/>
  <c r="C88" i="2"/>
  <c r="E88" i="2" s="1"/>
  <c r="B88" i="2"/>
  <c r="D88" i="2" s="1"/>
  <c r="F88" i="2" s="1"/>
  <c r="F87" i="2"/>
  <c r="E87" i="2"/>
  <c r="C87" i="2"/>
  <c r="B87" i="2"/>
  <c r="D87" i="2" s="1"/>
  <c r="E86" i="2"/>
  <c r="D86" i="2"/>
  <c r="F86" i="2" s="1"/>
  <c r="C86" i="2"/>
  <c r="B86" i="2"/>
  <c r="F85" i="2"/>
  <c r="E85" i="2"/>
  <c r="D85" i="2"/>
  <c r="C85" i="2"/>
  <c r="B85" i="2"/>
  <c r="E84" i="2"/>
  <c r="D84" i="2"/>
  <c r="F84" i="2" s="1"/>
  <c r="C84" i="2"/>
  <c r="B84" i="2"/>
  <c r="C83" i="2"/>
  <c r="E83" i="2" s="1"/>
  <c r="B83" i="2"/>
  <c r="D83" i="2" s="1"/>
  <c r="F83" i="2" s="1"/>
  <c r="D82" i="2"/>
  <c r="F82" i="2" s="1"/>
  <c r="C82" i="2"/>
  <c r="E82" i="2" s="1"/>
  <c r="B82" i="2"/>
  <c r="D81" i="2"/>
  <c r="F81" i="2" s="1"/>
  <c r="C81" i="2"/>
  <c r="E81" i="2" s="1"/>
  <c r="B81" i="2"/>
  <c r="C80" i="2"/>
  <c r="B80" i="2"/>
  <c r="D80" i="2" s="1"/>
  <c r="F80" i="2" s="1"/>
  <c r="E79" i="2"/>
  <c r="D79" i="2"/>
  <c r="F79" i="2" s="1"/>
  <c r="C79" i="2"/>
  <c r="B79" i="2"/>
  <c r="F78" i="2"/>
  <c r="E78" i="2"/>
  <c r="D78" i="2"/>
  <c r="C78" i="2"/>
  <c r="B78" i="2"/>
  <c r="C77" i="2"/>
  <c r="E77" i="2" s="1"/>
  <c r="B77" i="2"/>
  <c r="D77" i="2" s="1"/>
  <c r="F77" i="2" s="1"/>
  <c r="F76" i="2"/>
  <c r="D76" i="2"/>
  <c r="C76" i="2"/>
  <c r="E76" i="2" s="1"/>
  <c r="B76" i="2"/>
  <c r="C75" i="2"/>
  <c r="B75" i="2"/>
  <c r="E75" i="2" s="1"/>
  <c r="F74" i="2"/>
  <c r="C74" i="2"/>
  <c r="E74" i="2" s="1"/>
  <c r="B74" i="2"/>
  <c r="D74" i="2" s="1"/>
  <c r="D73" i="2"/>
  <c r="F73" i="2" s="1"/>
  <c r="C73" i="2"/>
  <c r="E73" i="2" s="1"/>
  <c r="B73" i="2"/>
  <c r="C72" i="2"/>
  <c r="E72" i="2" s="1"/>
  <c r="B72" i="2"/>
  <c r="D72" i="2" s="1"/>
  <c r="F72" i="2" s="1"/>
  <c r="E71" i="2"/>
  <c r="C71" i="2"/>
  <c r="B71" i="2"/>
  <c r="D71" i="2" s="1"/>
  <c r="F71" i="2" s="1"/>
  <c r="C70" i="2"/>
  <c r="E70" i="2" s="1"/>
  <c r="B70" i="2"/>
  <c r="D70" i="2" s="1"/>
  <c r="F70" i="2" s="1"/>
  <c r="F69" i="2"/>
  <c r="D69" i="2"/>
  <c r="C69" i="2"/>
  <c r="E69" i="2" s="1"/>
  <c r="B69" i="2"/>
  <c r="F68" i="2"/>
  <c r="E68" i="2"/>
  <c r="D68" i="2"/>
  <c r="C68" i="2"/>
  <c r="B68" i="2"/>
  <c r="E67" i="2"/>
  <c r="D67" i="2"/>
  <c r="F67" i="2" s="1"/>
  <c r="C67" i="2"/>
  <c r="B67" i="2"/>
  <c r="E66" i="2"/>
  <c r="D66" i="2"/>
  <c r="F66" i="2" s="1"/>
  <c r="C66" i="2"/>
  <c r="B66" i="2"/>
  <c r="D65" i="2"/>
  <c r="F65" i="2" s="1"/>
  <c r="C65" i="2"/>
  <c r="E65" i="2" s="1"/>
  <c r="B65" i="2"/>
  <c r="C64" i="2"/>
  <c r="E64" i="2" s="1"/>
  <c r="B64" i="2"/>
  <c r="D64" i="2" s="1"/>
  <c r="F64" i="2" s="1"/>
  <c r="C63" i="2"/>
  <c r="E63" i="2" s="1"/>
  <c r="B63" i="2"/>
  <c r="D63" i="2" s="1"/>
  <c r="F63" i="2" s="1"/>
  <c r="F62" i="2"/>
  <c r="E62" i="2"/>
  <c r="D62" i="2"/>
  <c r="C62" i="2"/>
  <c r="B62" i="2"/>
  <c r="C61" i="2"/>
  <c r="E61" i="2" s="1"/>
  <c r="B61" i="2"/>
  <c r="D61" i="2" s="1"/>
  <c r="F61" i="2" s="1"/>
  <c r="D60" i="2"/>
  <c r="F60" i="2" s="1"/>
  <c r="C60" i="2"/>
  <c r="E60" i="2" s="1"/>
  <c r="B60" i="2"/>
  <c r="C59" i="2"/>
  <c r="E59" i="2" s="1"/>
  <c r="B59" i="2"/>
  <c r="D59" i="2" s="1"/>
  <c r="F59" i="2" s="1"/>
  <c r="C58" i="2"/>
  <c r="E58" i="2" s="1"/>
  <c r="B58" i="2"/>
  <c r="D58" i="2" s="1"/>
  <c r="F58" i="2" s="1"/>
  <c r="E57" i="2"/>
  <c r="D57" i="2"/>
  <c r="F57" i="2" s="1"/>
  <c r="C57" i="2"/>
  <c r="B57" i="2"/>
  <c r="F56" i="2"/>
  <c r="E56" i="2"/>
  <c r="D56" i="2"/>
  <c r="C56" i="2"/>
  <c r="B56" i="2"/>
  <c r="F55" i="2"/>
  <c r="E55" i="2"/>
  <c r="C55" i="2"/>
  <c r="B55" i="2"/>
  <c r="D55" i="2" s="1"/>
  <c r="C54" i="2"/>
  <c r="E54" i="2" s="1"/>
  <c r="B54" i="2"/>
  <c r="D54" i="2" s="1"/>
  <c r="F54" i="2" s="1"/>
  <c r="D53" i="2"/>
  <c r="F53" i="2" s="1"/>
  <c r="C53" i="2"/>
  <c r="E53" i="2" s="1"/>
  <c r="B53" i="2"/>
  <c r="E52" i="2"/>
  <c r="D52" i="2"/>
  <c r="F52" i="2" s="1"/>
  <c r="C52" i="2"/>
  <c r="B52" i="2"/>
  <c r="D51" i="2"/>
  <c r="F51" i="2" s="1"/>
  <c r="C51" i="2"/>
  <c r="E51" i="2" s="1"/>
  <c r="B51" i="2"/>
  <c r="C50" i="2"/>
  <c r="B50" i="2"/>
  <c r="E50" i="2" s="1"/>
  <c r="F49" i="2"/>
  <c r="E49" i="2"/>
  <c r="D49" i="2"/>
  <c r="C49" i="2"/>
  <c r="B49" i="2"/>
  <c r="D48" i="2"/>
  <c r="F48" i="2" s="1"/>
  <c r="C48" i="2"/>
  <c r="E48" i="2" s="1"/>
  <c r="B48" i="2"/>
  <c r="C47" i="2"/>
  <c r="E47" i="2" s="1"/>
  <c r="B47" i="2"/>
  <c r="D47" i="2" s="1"/>
  <c r="F47" i="2" s="1"/>
  <c r="D46" i="2"/>
  <c r="F46" i="2" s="1"/>
  <c r="C46" i="2"/>
  <c r="E46" i="2" s="1"/>
  <c r="B46" i="2"/>
  <c r="C45" i="2"/>
  <c r="B45" i="2"/>
  <c r="D45" i="2" s="1"/>
  <c r="F45" i="2" s="1"/>
  <c r="E44" i="2"/>
  <c r="D44" i="2"/>
  <c r="F44" i="2" s="1"/>
  <c r="C44" i="2"/>
  <c r="B44" i="2"/>
  <c r="D43" i="2"/>
  <c r="F43" i="2" s="1"/>
  <c r="C43" i="2"/>
  <c r="E43" i="2" s="1"/>
  <c r="B43" i="2"/>
  <c r="C42" i="2"/>
  <c r="E42" i="2" s="1"/>
  <c r="B42" i="2"/>
  <c r="D42" i="2" s="1"/>
  <c r="F42" i="2" s="1"/>
  <c r="C41" i="2"/>
  <c r="E41" i="2" s="1"/>
  <c r="B41" i="2"/>
  <c r="D41" i="2" s="1"/>
  <c r="F41" i="2" s="1"/>
  <c r="F40" i="2"/>
  <c r="D40" i="2"/>
  <c r="C40" i="2"/>
  <c r="E40" i="2" s="1"/>
  <c r="B40" i="2"/>
  <c r="F39" i="2"/>
  <c r="E39" i="2"/>
  <c r="C39" i="2"/>
  <c r="B39" i="2"/>
  <c r="D39" i="2" s="1"/>
  <c r="F38" i="2"/>
  <c r="E38" i="2"/>
  <c r="D38" i="2"/>
  <c r="C38" i="2"/>
  <c r="B38" i="2"/>
  <c r="E37" i="2"/>
  <c r="D37" i="2"/>
  <c r="F37" i="2" s="1"/>
  <c r="C37" i="2"/>
  <c r="B37" i="2"/>
  <c r="E36" i="2"/>
  <c r="D36" i="2"/>
  <c r="F36" i="2" s="1"/>
  <c r="C36" i="2"/>
  <c r="B36" i="2"/>
  <c r="D35" i="2"/>
  <c r="F35" i="2" s="1"/>
  <c r="C35" i="2"/>
  <c r="E35" i="2" s="1"/>
  <c r="B35" i="2"/>
  <c r="C34" i="2"/>
  <c r="E34" i="2" s="1"/>
  <c r="B34" i="2"/>
  <c r="D34" i="2" s="1"/>
  <c r="F34" i="2" s="1"/>
  <c r="E33" i="2"/>
  <c r="D33" i="2"/>
  <c r="F33" i="2" s="1"/>
  <c r="C33" i="2"/>
  <c r="B33" i="2"/>
  <c r="D32" i="2"/>
  <c r="F32" i="2" s="1"/>
  <c r="C32" i="2"/>
  <c r="B32" i="2"/>
  <c r="F31" i="2"/>
  <c r="E31" i="2"/>
  <c r="D31" i="2"/>
  <c r="C31" i="2"/>
  <c r="B31" i="2"/>
  <c r="E30" i="2"/>
  <c r="D30" i="2"/>
  <c r="F30" i="2" s="1"/>
  <c r="C30" i="2"/>
  <c r="B30" i="2"/>
  <c r="C29" i="2"/>
  <c r="E29" i="2" s="1"/>
  <c r="B29" i="2"/>
  <c r="D29" i="2" s="1"/>
  <c r="F29" i="2" s="1"/>
  <c r="C28" i="2"/>
  <c r="B28" i="2"/>
  <c r="E28" i="2" s="1"/>
  <c r="C27" i="2"/>
  <c r="B27" i="2"/>
  <c r="D27" i="2" s="1"/>
  <c r="F27" i="2" s="1"/>
  <c r="F26" i="2"/>
  <c r="C26" i="2"/>
  <c r="E26" i="2" s="1"/>
  <c r="B26" i="2"/>
  <c r="D26" i="2" s="1"/>
  <c r="C25" i="2"/>
  <c r="E25" i="2" s="1"/>
  <c r="B25" i="2"/>
  <c r="D25" i="2" s="1"/>
  <c r="F25" i="2" s="1"/>
  <c r="D24" i="2"/>
  <c r="F24" i="2" s="1"/>
  <c r="C24" i="2"/>
  <c r="E24" i="2" s="1"/>
  <c r="B24" i="2"/>
  <c r="E23" i="2"/>
  <c r="C23" i="2"/>
  <c r="B23" i="2"/>
  <c r="D23" i="2" s="1"/>
  <c r="F23" i="2" s="1"/>
  <c r="F22" i="2"/>
  <c r="D22" i="2"/>
  <c r="C22" i="2"/>
  <c r="E22" i="2" s="1"/>
  <c r="B22" i="2"/>
  <c r="C21" i="2"/>
  <c r="B21" i="2"/>
  <c r="E21" i="2" s="1"/>
  <c r="F20" i="2"/>
  <c r="E20" i="2"/>
  <c r="D20" i="2"/>
  <c r="C20" i="2"/>
  <c r="B20" i="2"/>
  <c r="E19" i="2"/>
  <c r="D19" i="2"/>
  <c r="F19" i="2" s="1"/>
  <c r="C19" i="2"/>
  <c r="B19" i="2"/>
  <c r="D18" i="2"/>
  <c r="F18" i="2" s="1"/>
  <c r="C18" i="2"/>
  <c r="E18" i="2" s="1"/>
  <c r="B18" i="2"/>
  <c r="E17" i="2"/>
  <c r="D17" i="2"/>
  <c r="F17" i="2" s="1"/>
  <c r="C17" i="2"/>
  <c r="B17" i="2"/>
  <c r="C16" i="2"/>
  <c r="E16" i="2" s="1"/>
  <c r="B16" i="2"/>
  <c r="D16" i="2" s="1"/>
  <c r="F16" i="2" s="1"/>
  <c r="F15" i="2"/>
  <c r="D15" i="2"/>
  <c r="C15" i="2"/>
  <c r="E15" i="2" s="1"/>
  <c r="B15" i="2"/>
  <c r="C14" i="2"/>
  <c r="B14" i="2"/>
  <c r="E14" i="2" s="1"/>
  <c r="C13" i="2"/>
  <c r="B13" i="2"/>
  <c r="D13" i="2" s="1"/>
  <c r="F13" i="2" s="1"/>
  <c r="C12" i="2"/>
  <c r="E12" i="2" s="1"/>
  <c r="B12" i="2"/>
  <c r="D12" i="2" s="1"/>
  <c r="F12" i="2" s="1"/>
  <c r="C11" i="2"/>
  <c r="B11" i="2"/>
  <c r="E11" i="2" s="1"/>
  <c r="F10" i="2"/>
  <c r="C10" i="2"/>
  <c r="B10" i="2"/>
  <c r="D10" i="2" s="1"/>
  <c r="F9" i="2"/>
  <c r="E9" i="2"/>
  <c r="D9" i="2"/>
  <c r="C9" i="2"/>
  <c r="B9" i="2"/>
  <c r="E8" i="2"/>
  <c r="D8" i="2"/>
  <c r="F8" i="2" s="1"/>
  <c r="C8" i="2"/>
  <c r="B8" i="2"/>
  <c r="F258" i="1"/>
  <c r="E258" i="1"/>
  <c r="D258" i="1"/>
  <c r="E257" i="1"/>
  <c r="D257" i="1"/>
  <c r="F257" i="1" s="1"/>
  <c r="E256" i="1"/>
  <c r="D256" i="1"/>
  <c r="F256" i="1" s="1"/>
  <c r="F255" i="1"/>
  <c r="E255" i="1"/>
  <c r="D255" i="1"/>
  <c r="E254" i="1"/>
  <c r="D254" i="1"/>
  <c r="F254" i="1" s="1"/>
  <c r="E253" i="1"/>
  <c r="D253" i="1"/>
  <c r="F253" i="1" s="1"/>
  <c r="E252" i="1"/>
  <c r="D252" i="1"/>
  <c r="F252" i="1" s="1"/>
  <c r="F251" i="1"/>
  <c r="E251" i="1"/>
  <c r="D251" i="1"/>
  <c r="F250" i="1"/>
  <c r="E250" i="1"/>
  <c r="D250" i="1"/>
  <c r="E249" i="1"/>
  <c r="D249" i="1"/>
  <c r="F249" i="1" s="1"/>
  <c r="F248" i="1"/>
  <c r="E248" i="1"/>
  <c r="D248" i="1"/>
  <c r="F247" i="1"/>
  <c r="E247" i="1"/>
  <c r="D247" i="1"/>
  <c r="E246" i="1"/>
  <c r="D246" i="1"/>
  <c r="F246" i="1" s="1"/>
  <c r="E245" i="1"/>
  <c r="D245" i="1"/>
  <c r="F245" i="1" s="1"/>
  <c r="F244" i="1"/>
  <c r="E244" i="1"/>
  <c r="D244" i="1"/>
  <c r="E243" i="1"/>
  <c r="D243" i="1"/>
  <c r="F243" i="1" s="1"/>
  <c r="F242" i="1"/>
  <c r="E242" i="1"/>
  <c r="D242" i="1"/>
  <c r="E241" i="1"/>
  <c r="D241" i="1"/>
  <c r="F241" i="1" s="1"/>
  <c r="F240" i="1"/>
  <c r="E240" i="1"/>
  <c r="D240" i="1"/>
  <c r="E239" i="1"/>
  <c r="D239" i="1"/>
  <c r="F239" i="1" s="1"/>
  <c r="F238" i="1"/>
  <c r="E238" i="1"/>
  <c r="D238" i="1"/>
  <c r="E237" i="1"/>
  <c r="D237" i="1"/>
  <c r="F237" i="1" s="1"/>
  <c r="E236" i="1"/>
  <c r="D236" i="1"/>
  <c r="F236" i="1" s="1"/>
  <c r="E235" i="1"/>
  <c r="D235" i="1"/>
  <c r="F235" i="1" s="1"/>
  <c r="F234" i="1"/>
  <c r="E234" i="1"/>
  <c r="D234" i="1"/>
  <c r="F233" i="1"/>
  <c r="E233" i="1"/>
  <c r="D233" i="1"/>
  <c r="E232" i="1"/>
  <c r="D232" i="1"/>
  <c r="F232" i="1" s="1"/>
  <c r="F231" i="1"/>
  <c r="E231" i="1"/>
  <c r="D231" i="1"/>
  <c r="E230" i="1"/>
  <c r="D230" i="1"/>
  <c r="F230" i="1" s="1"/>
  <c r="E229" i="1"/>
  <c r="D229" i="1"/>
  <c r="F229" i="1" s="1"/>
  <c r="E228" i="1"/>
  <c r="D228" i="1"/>
  <c r="F228" i="1" s="1"/>
  <c r="F227" i="1"/>
  <c r="E227" i="1"/>
  <c r="D227" i="1"/>
  <c r="F226" i="1"/>
  <c r="E226" i="1"/>
  <c r="D226" i="1"/>
  <c r="E225" i="1"/>
  <c r="D225" i="1"/>
  <c r="F225" i="1" s="1"/>
  <c r="F224" i="1"/>
  <c r="E224" i="1"/>
  <c r="D224" i="1"/>
  <c r="F223" i="1"/>
  <c r="E223" i="1"/>
  <c r="D223" i="1"/>
  <c r="E222" i="1"/>
  <c r="D222" i="1"/>
  <c r="F222" i="1" s="1"/>
  <c r="F221" i="1"/>
  <c r="E221" i="1"/>
  <c r="D221" i="1"/>
  <c r="E220" i="1"/>
  <c r="D220" i="1"/>
  <c r="F220" i="1" s="1"/>
  <c r="F219" i="1"/>
  <c r="E219" i="1"/>
  <c r="D219" i="1"/>
  <c r="E218" i="1"/>
  <c r="D218" i="1"/>
  <c r="F218" i="1" s="1"/>
  <c r="F217" i="1"/>
  <c r="E217" i="1"/>
  <c r="D217" i="1"/>
  <c r="F216" i="1"/>
  <c r="E216" i="1"/>
  <c r="D216" i="1"/>
  <c r="F215" i="1"/>
  <c r="E215" i="1"/>
  <c r="D215" i="1"/>
  <c r="E214" i="1"/>
  <c r="D214" i="1"/>
  <c r="F214" i="1" s="1"/>
  <c r="E213" i="1"/>
  <c r="D213" i="1"/>
  <c r="F213" i="1" s="1"/>
  <c r="E212" i="1"/>
  <c r="D212" i="1"/>
  <c r="F212" i="1" s="1"/>
  <c r="E211" i="1"/>
  <c r="D211" i="1"/>
  <c r="F211" i="1" s="1"/>
  <c r="F210" i="1"/>
  <c r="E210" i="1"/>
  <c r="D210" i="1"/>
  <c r="E209" i="1"/>
  <c r="D209" i="1"/>
  <c r="F209" i="1" s="1"/>
  <c r="F208" i="1"/>
  <c r="E208" i="1"/>
  <c r="D208" i="1"/>
  <c r="F207" i="1"/>
  <c r="E207" i="1"/>
  <c r="D207" i="1"/>
  <c r="F206" i="1"/>
  <c r="E206" i="1"/>
  <c r="D206" i="1"/>
  <c r="E205" i="1"/>
  <c r="D205" i="1"/>
  <c r="F205" i="1" s="1"/>
  <c r="E204" i="1"/>
  <c r="D204" i="1"/>
  <c r="F204" i="1" s="1"/>
  <c r="E203" i="1"/>
  <c r="D203" i="1"/>
  <c r="F203" i="1" s="1"/>
  <c r="F202" i="1"/>
  <c r="E202" i="1"/>
  <c r="D202" i="1"/>
  <c r="E201" i="1"/>
  <c r="D201" i="1"/>
  <c r="F201" i="1" s="1"/>
  <c r="F200" i="1"/>
  <c r="E200" i="1"/>
  <c r="D200" i="1"/>
  <c r="F199" i="1"/>
  <c r="E199" i="1"/>
  <c r="D199" i="1"/>
  <c r="E198" i="1"/>
  <c r="D198" i="1"/>
  <c r="F198" i="1" s="1"/>
  <c r="E197" i="1"/>
  <c r="D197" i="1"/>
  <c r="F197" i="1" s="1"/>
  <c r="E196" i="1"/>
  <c r="D196" i="1"/>
  <c r="F196" i="1" s="1"/>
  <c r="E195" i="1"/>
  <c r="D195" i="1"/>
  <c r="F195" i="1" s="1"/>
  <c r="F194" i="1"/>
  <c r="E194" i="1"/>
  <c r="D194" i="1"/>
  <c r="E193" i="1"/>
  <c r="D193" i="1"/>
  <c r="F193" i="1" s="1"/>
  <c r="E192" i="1"/>
  <c r="D192" i="1"/>
  <c r="F192" i="1" s="1"/>
  <c r="F191" i="1"/>
  <c r="E191" i="1"/>
  <c r="D191" i="1"/>
  <c r="F190" i="1"/>
  <c r="E190" i="1"/>
  <c r="D190" i="1"/>
  <c r="F189" i="1"/>
  <c r="E189" i="1"/>
  <c r="D189" i="1"/>
  <c r="E188" i="1"/>
  <c r="D188" i="1"/>
  <c r="F188" i="1" s="1"/>
  <c r="F187" i="1"/>
  <c r="E187" i="1"/>
  <c r="D187" i="1"/>
  <c r="E186" i="1"/>
  <c r="D186" i="1"/>
  <c r="F186" i="1" s="1"/>
  <c r="F185" i="1"/>
  <c r="E185" i="1"/>
  <c r="D185" i="1"/>
  <c r="E184" i="1"/>
  <c r="D184" i="1"/>
  <c r="F184" i="1" s="1"/>
  <c r="F183" i="1"/>
  <c r="E183" i="1"/>
  <c r="D183" i="1"/>
  <c r="E182" i="1"/>
  <c r="D182" i="1"/>
  <c r="F182" i="1" s="1"/>
  <c r="F181" i="1"/>
  <c r="E181" i="1"/>
  <c r="D181" i="1"/>
  <c r="E180" i="1"/>
  <c r="D180" i="1"/>
  <c r="F180" i="1" s="1"/>
  <c r="E179" i="1"/>
  <c r="D179" i="1"/>
  <c r="F179" i="1" s="1"/>
  <c r="F178" i="1"/>
  <c r="E178" i="1"/>
  <c r="D178" i="1"/>
  <c r="E177" i="1"/>
  <c r="D177" i="1"/>
  <c r="F177" i="1" s="1"/>
  <c r="F176" i="1"/>
  <c r="E176" i="1"/>
  <c r="D176" i="1"/>
  <c r="E175" i="1"/>
  <c r="D175" i="1"/>
  <c r="F175" i="1" s="1"/>
  <c r="F174" i="1"/>
  <c r="E174" i="1"/>
  <c r="D174" i="1"/>
  <c r="F173" i="1"/>
  <c r="E173" i="1"/>
  <c r="D173" i="1"/>
  <c r="E172" i="1"/>
  <c r="D172" i="1"/>
  <c r="F172" i="1" s="1"/>
  <c r="E171" i="1"/>
  <c r="D171" i="1"/>
  <c r="F171" i="1" s="1"/>
  <c r="F170" i="1"/>
  <c r="E170" i="1"/>
  <c r="D170" i="1"/>
  <c r="E169" i="1"/>
  <c r="D169" i="1"/>
  <c r="F169" i="1" s="1"/>
  <c r="F168" i="1"/>
  <c r="E168" i="1"/>
  <c r="D168" i="1"/>
  <c r="F167" i="1"/>
  <c r="E167" i="1"/>
  <c r="D167" i="1"/>
  <c r="E166" i="1"/>
  <c r="D166" i="1"/>
  <c r="F166" i="1" s="1"/>
  <c r="E165" i="1"/>
  <c r="D165" i="1"/>
  <c r="F165" i="1" s="1"/>
  <c r="F164" i="1"/>
  <c r="E164" i="1"/>
  <c r="D164" i="1"/>
  <c r="E163" i="1"/>
  <c r="D163" i="1"/>
  <c r="F163" i="1" s="1"/>
  <c r="F162" i="1"/>
  <c r="E162" i="1"/>
  <c r="D162" i="1"/>
  <c r="E161" i="1"/>
  <c r="D161" i="1"/>
  <c r="F161" i="1" s="1"/>
  <c r="F160" i="1"/>
  <c r="E160" i="1"/>
  <c r="D160" i="1"/>
  <c r="F159" i="1"/>
  <c r="E159" i="1"/>
  <c r="D159" i="1"/>
  <c r="E158" i="1"/>
  <c r="D158" i="1"/>
  <c r="F158" i="1" s="1"/>
  <c r="F157" i="1"/>
  <c r="E157" i="1"/>
  <c r="D157" i="1"/>
  <c r="E156" i="1"/>
  <c r="D156" i="1"/>
  <c r="F156" i="1" s="1"/>
  <c r="E155" i="1"/>
  <c r="D155" i="1"/>
  <c r="F155" i="1" s="1"/>
  <c r="E154" i="1"/>
  <c r="D154" i="1"/>
  <c r="F154" i="1" s="1"/>
  <c r="F153" i="1"/>
  <c r="E153" i="1"/>
  <c r="D153" i="1"/>
  <c r="E152" i="1"/>
  <c r="D152" i="1"/>
  <c r="F152" i="1" s="1"/>
  <c r="F151" i="1"/>
  <c r="E151" i="1"/>
  <c r="D151" i="1"/>
  <c r="E150" i="1"/>
  <c r="D150" i="1"/>
  <c r="F150" i="1" s="1"/>
  <c r="F149" i="1"/>
  <c r="E149" i="1"/>
  <c r="D149" i="1"/>
  <c r="E148" i="1"/>
  <c r="D148" i="1"/>
  <c r="F148" i="1" s="1"/>
  <c r="F147" i="1"/>
  <c r="E147" i="1"/>
  <c r="D147" i="1"/>
  <c r="F146" i="1"/>
  <c r="E146" i="1"/>
  <c r="D146" i="1"/>
  <c r="E145" i="1"/>
  <c r="D145" i="1"/>
  <c r="F145" i="1" s="1"/>
  <c r="E144" i="1"/>
  <c r="D144" i="1"/>
  <c r="F144" i="1" s="1"/>
  <c r="F143" i="1"/>
  <c r="E143" i="1"/>
  <c r="D143" i="1"/>
  <c r="F142" i="1"/>
  <c r="E142" i="1"/>
  <c r="D142" i="1"/>
  <c r="E141" i="1"/>
  <c r="D141" i="1"/>
  <c r="F141" i="1" s="1"/>
  <c r="E140" i="1"/>
  <c r="D140" i="1"/>
  <c r="F140" i="1" s="1"/>
  <c r="E139" i="1"/>
  <c r="D139" i="1"/>
  <c r="F139" i="1" s="1"/>
  <c r="E138" i="1"/>
  <c r="D138" i="1"/>
  <c r="F138" i="1" s="1"/>
  <c r="E137" i="1"/>
  <c r="D137" i="1"/>
  <c r="F137" i="1" s="1"/>
  <c r="F136" i="1"/>
  <c r="E136" i="1"/>
  <c r="D136" i="1"/>
  <c r="F135" i="1"/>
  <c r="E135" i="1"/>
  <c r="D135" i="1"/>
  <c r="E134" i="1"/>
  <c r="D134" i="1"/>
  <c r="F134" i="1" s="1"/>
  <c r="F133" i="1"/>
  <c r="E133" i="1"/>
  <c r="D133" i="1"/>
  <c r="F132" i="1"/>
  <c r="E132" i="1"/>
  <c r="D132" i="1"/>
  <c r="E131" i="1"/>
  <c r="D131" i="1"/>
  <c r="F131" i="1" s="1"/>
  <c r="F130" i="1"/>
  <c r="E130" i="1"/>
  <c r="D130" i="1"/>
  <c r="E129" i="1"/>
  <c r="D129" i="1"/>
  <c r="F129" i="1" s="1"/>
  <c r="F128" i="1"/>
  <c r="E128" i="1"/>
  <c r="D128" i="1"/>
  <c r="E127" i="1"/>
  <c r="D127" i="1"/>
  <c r="F127" i="1" s="1"/>
  <c r="F126" i="1"/>
  <c r="E126" i="1"/>
  <c r="D126" i="1"/>
  <c r="F125" i="1"/>
  <c r="E125" i="1"/>
  <c r="D125" i="1"/>
  <c r="E124" i="1"/>
  <c r="D124" i="1"/>
  <c r="F124" i="1" s="1"/>
  <c r="E123" i="1"/>
  <c r="D123" i="1"/>
  <c r="F123" i="1" s="1"/>
  <c r="E122" i="1"/>
  <c r="D122" i="1"/>
  <c r="F122" i="1" s="1"/>
  <c r="E121" i="1"/>
  <c r="D121" i="1"/>
  <c r="F121" i="1" s="1"/>
  <c r="E120" i="1"/>
  <c r="D120" i="1"/>
  <c r="F120" i="1" s="1"/>
  <c r="F119" i="1"/>
  <c r="E119" i="1"/>
  <c r="D119" i="1"/>
  <c r="E118" i="1"/>
  <c r="D118" i="1"/>
  <c r="F118" i="1" s="1"/>
  <c r="F117" i="1"/>
  <c r="E117" i="1"/>
  <c r="D117" i="1"/>
  <c r="F116" i="1"/>
  <c r="E116" i="1"/>
  <c r="D116" i="1"/>
  <c r="F115" i="1"/>
  <c r="E115" i="1"/>
  <c r="D115" i="1"/>
  <c r="F114" i="1"/>
  <c r="E114" i="1"/>
  <c r="D114" i="1"/>
  <c r="E113" i="1"/>
  <c r="D113" i="1"/>
  <c r="F113" i="1" s="1"/>
  <c r="E112" i="1"/>
  <c r="D112" i="1"/>
  <c r="F112" i="1" s="1"/>
  <c r="F111" i="1"/>
  <c r="E111" i="1"/>
  <c r="D111" i="1"/>
  <c r="E110" i="1"/>
  <c r="D110" i="1"/>
  <c r="F110" i="1" s="1"/>
  <c r="F109" i="1"/>
  <c r="E109" i="1"/>
  <c r="D109" i="1"/>
  <c r="E108" i="1"/>
  <c r="D108" i="1"/>
  <c r="F108" i="1" s="1"/>
  <c r="F107" i="1"/>
  <c r="E107" i="1"/>
  <c r="D107" i="1"/>
  <c r="E106" i="1"/>
  <c r="D106" i="1"/>
  <c r="F106" i="1" s="1"/>
  <c r="E105" i="1"/>
  <c r="D105" i="1"/>
  <c r="F105" i="1" s="1"/>
  <c r="E104" i="1"/>
  <c r="D104" i="1"/>
  <c r="F104" i="1" s="1"/>
  <c r="F103" i="1"/>
  <c r="E103" i="1"/>
  <c r="D103" i="1"/>
  <c r="E102" i="1"/>
  <c r="D102" i="1"/>
  <c r="F102" i="1" s="1"/>
  <c r="E101" i="1"/>
  <c r="D101" i="1"/>
  <c r="F101" i="1" s="1"/>
  <c r="F100" i="1"/>
  <c r="E100" i="1"/>
  <c r="D100" i="1"/>
  <c r="F99" i="1"/>
  <c r="E99" i="1"/>
  <c r="D99" i="1"/>
  <c r="F98" i="1"/>
  <c r="E98" i="1"/>
  <c r="D98" i="1"/>
  <c r="E97" i="1"/>
  <c r="D97" i="1"/>
  <c r="F97" i="1" s="1"/>
  <c r="F96" i="1"/>
  <c r="E96" i="1"/>
  <c r="D96" i="1"/>
  <c r="E95" i="1"/>
  <c r="D95" i="1"/>
  <c r="F95" i="1" s="1"/>
  <c r="F94" i="1"/>
  <c r="E94" i="1"/>
  <c r="D94" i="1"/>
  <c r="E93" i="1"/>
  <c r="D93" i="1"/>
  <c r="F93" i="1" s="1"/>
  <c r="E92" i="1"/>
  <c r="D92" i="1"/>
  <c r="F92" i="1" s="1"/>
  <c r="E91" i="1"/>
  <c r="D91" i="1"/>
  <c r="F91" i="1" s="1"/>
  <c r="F90" i="1"/>
  <c r="E90" i="1"/>
  <c r="D90" i="1"/>
  <c r="E89" i="1"/>
  <c r="D89" i="1"/>
  <c r="F89" i="1" s="1"/>
  <c r="E88" i="1"/>
  <c r="D88" i="1"/>
  <c r="F88" i="1" s="1"/>
  <c r="F87" i="1"/>
  <c r="E87" i="1"/>
  <c r="D87" i="1"/>
  <c r="E86" i="1"/>
  <c r="D86" i="1"/>
  <c r="F86" i="1" s="1"/>
  <c r="F85" i="1"/>
  <c r="E85" i="1"/>
  <c r="D85" i="1"/>
  <c r="E84" i="1"/>
  <c r="D84" i="1"/>
  <c r="F84" i="1" s="1"/>
  <c r="F83" i="1"/>
  <c r="E83" i="1"/>
  <c r="D83" i="1"/>
  <c r="F82" i="1"/>
  <c r="E82" i="1"/>
  <c r="D82" i="1"/>
  <c r="E81" i="1"/>
  <c r="D81" i="1"/>
  <c r="F81" i="1" s="1"/>
  <c r="E80" i="1"/>
  <c r="D80" i="1"/>
  <c r="F80" i="1" s="1"/>
  <c r="F79" i="1"/>
  <c r="E79" i="1"/>
  <c r="D79" i="1"/>
  <c r="E78" i="1"/>
  <c r="D78" i="1"/>
  <c r="F78" i="1" s="1"/>
  <c r="F77" i="1"/>
  <c r="E77" i="1"/>
  <c r="D77" i="1"/>
  <c r="E76" i="1"/>
  <c r="D76" i="1"/>
  <c r="F76" i="1" s="1"/>
  <c r="F75" i="1"/>
  <c r="E75" i="1"/>
  <c r="D75" i="1"/>
  <c r="E74" i="1"/>
  <c r="D74" i="1"/>
  <c r="F74" i="1" s="1"/>
  <c r="F73" i="1"/>
  <c r="E73" i="1"/>
  <c r="D73" i="1"/>
  <c r="E72" i="1"/>
  <c r="D72" i="1"/>
  <c r="F72" i="1" s="1"/>
  <c r="F71" i="1"/>
  <c r="E71" i="1"/>
  <c r="D71" i="1"/>
  <c r="E70" i="1"/>
  <c r="D70" i="1"/>
  <c r="F70" i="1" s="1"/>
  <c r="F69" i="1"/>
  <c r="E69" i="1"/>
  <c r="D69" i="1"/>
  <c r="F68" i="1"/>
  <c r="E68" i="1"/>
  <c r="D68" i="1"/>
  <c r="E67" i="1"/>
  <c r="D67" i="1"/>
  <c r="F67" i="1" s="1"/>
  <c r="F66" i="1"/>
  <c r="E66" i="1"/>
  <c r="D66" i="1"/>
  <c r="E65" i="1"/>
  <c r="D65" i="1"/>
  <c r="F65" i="1" s="1"/>
  <c r="E64" i="1"/>
  <c r="D64" i="1"/>
  <c r="F64" i="1" s="1"/>
  <c r="E63" i="1"/>
  <c r="D63" i="1"/>
  <c r="F63" i="1" s="1"/>
  <c r="F62" i="1"/>
  <c r="E62" i="1"/>
  <c r="D62" i="1"/>
  <c r="E61" i="1"/>
  <c r="D61" i="1"/>
  <c r="F61" i="1" s="1"/>
  <c r="E60" i="1"/>
  <c r="D60" i="1"/>
  <c r="F60" i="1" s="1"/>
  <c r="F59" i="1"/>
  <c r="E59" i="1"/>
  <c r="D59" i="1"/>
  <c r="F58" i="1"/>
  <c r="E58" i="1"/>
  <c r="D58" i="1"/>
  <c r="E57" i="1"/>
  <c r="D57" i="1"/>
  <c r="F57" i="1" s="1"/>
  <c r="F56" i="1"/>
  <c r="E56" i="1"/>
  <c r="D56" i="1"/>
  <c r="F55" i="1"/>
  <c r="E55" i="1"/>
  <c r="D55" i="1"/>
  <c r="E54" i="1"/>
  <c r="D54" i="1"/>
  <c r="F54" i="1" s="1"/>
  <c r="E53" i="1"/>
  <c r="D53" i="1"/>
  <c r="F53" i="1" s="1"/>
  <c r="F52" i="1"/>
  <c r="E52" i="1"/>
  <c r="D52" i="1"/>
  <c r="F51" i="1"/>
  <c r="E51" i="1"/>
  <c r="D51" i="1"/>
  <c r="F50" i="1"/>
  <c r="E50" i="1"/>
  <c r="D50" i="1"/>
  <c r="E49" i="1"/>
  <c r="D49" i="1"/>
  <c r="F49" i="1" s="1"/>
  <c r="E48" i="1"/>
  <c r="D48" i="1"/>
  <c r="F48" i="1" s="1"/>
  <c r="E47" i="1"/>
  <c r="D47" i="1"/>
  <c r="F47" i="1" s="1"/>
  <c r="E46" i="1"/>
  <c r="D46" i="1"/>
  <c r="F46" i="1" s="1"/>
  <c r="F45" i="1"/>
  <c r="E45" i="1"/>
  <c r="D45" i="1"/>
  <c r="E44" i="1"/>
  <c r="D44" i="1"/>
  <c r="F44" i="1" s="1"/>
  <c r="F43" i="1"/>
  <c r="E43" i="1"/>
  <c r="D43" i="1"/>
  <c r="F42" i="1"/>
  <c r="E42" i="1"/>
  <c r="D42" i="1"/>
  <c r="F41" i="1"/>
  <c r="E41" i="1"/>
  <c r="D41" i="1"/>
  <c r="E40" i="1"/>
  <c r="D40" i="1"/>
  <c r="F40" i="1" s="1"/>
  <c r="F39" i="1"/>
  <c r="E39" i="1"/>
  <c r="D39" i="1"/>
  <c r="E38" i="1"/>
  <c r="D38" i="1"/>
  <c r="F38" i="1" s="1"/>
  <c r="F37" i="1"/>
  <c r="E37" i="1"/>
  <c r="D37" i="1"/>
  <c r="E36" i="1"/>
  <c r="D36" i="1"/>
  <c r="F36" i="1" s="1"/>
  <c r="F35" i="1"/>
  <c r="E35" i="1"/>
  <c r="D35" i="1"/>
  <c r="F34" i="1"/>
  <c r="E34" i="1"/>
  <c r="D34" i="1"/>
  <c r="E33" i="1"/>
  <c r="D33" i="1"/>
  <c r="F33" i="1" s="1"/>
  <c r="E32" i="1"/>
  <c r="D32" i="1"/>
  <c r="F32" i="1" s="1"/>
  <c r="E31" i="1"/>
  <c r="D31" i="1"/>
  <c r="F31" i="1" s="1"/>
  <c r="E30" i="1"/>
  <c r="D30" i="1"/>
  <c r="F30" i="1" s="1"/>
  <c r="E29" i="1"/>
  <c r="D29" i="1"/>
  <c r="F29" i="1" s="1"/>
  <c r="E28" i="1"/>
  <c r="D28" i="1"/>
  <c r="F28" i="1" s="1"/>
  <c r="E27" i="1"/>
  <c r="D27" i="1"/>
  <c r="F27" i="1" s="1"/>
  <c r="F26" i="1"/>
  <c r="E26" i="1"/>
  <c r="D26" i="1"/>
  <c r="F25" i="1"/>
  <c r="E25" i="1"/>
  <c r="D25" i="1"/>
  <c r="F24" i="1"/>
  <c r="E24" i="1"/>
  <c r="D24" i="1"/>
  <c r="F23" i="1"/>
  <c r="E23" i="1"/>
  <c r="D23" i="1"/>
  <c r="E22" i="1"/>
  <c r="D22" i="1"/>
  <c r="F22" i="1" s="1"/>
  <c r="E21" i="1"/>
  <c r="D21" i="1"/>
  <c r="F21" i="1" s="1"/>
  <c r="F20" i="1"/>
  <c r="E20" i="1"/>
  <c r="D20" i="1"/>
  <c r="E19" i="1"/>
  <c r="D19" i="1"/>
  <c r="F19" i="1" s="1"/>
  <c r="F18" i="1"/>
  <c r="E18" i="1"/>
  <c r="D18" i="1"/>
  <c r="E17" i="1"/>
  <c r="D17" i="1"/>
  <c r="F17" i="1" s="1"/>
  <c r="F16" i="1"/>
  <c r="E16" i="1"/>
  <c r="D16" i="1"/>
  <c r="E15" i="1"/>
  <c r="D15" i="1"/>
  <c r="F15" i="1" s="1"/>
  <c r="E14" i="1"/>
  <c r="D14" i="1"/>
  <c r="F14" i="1" s="1"/>
  <c r="E13" i="1"/>
  <c r="D13" i="1"/>
  <c r="F13" i="1" s="1"/>
  <c r="E12" i="1"/>
  <c r="D12" i="1"/>
  <c r="F12" i="1" s="1"/>
  <c r="F11" i="1"/>
  <c r="E11" i="1"/>
  <c r="D11" i="1"/>
  <c r="E10" i="1"/>
  <c r="D10" i="1"/>
  <c r="F10" i="1" s="1"/>
  <c r="F9" i="1"/>
  <c r="E9" i="1"/>
  <c r="D9" i="1"/>
  <c r="F8" i="1"/>
  <c r="E8" i="1"/>
  <c r="D8" i="1"/>
  <c r="E27" i="2" l="1"/>
  <c r="E198" i="2"/>
  <c r="E213" i="2"/>
  <c r="E220" i="2"/>
  <c r="E235" i="2"/>
  <c r="E13" i="2"/>
  <c r="E195" i="2"/>
  <c r="E221" i="2"/>
  <c r="E10" i="2"/>
  <c r="D14" i="2"/>
  <c r="F14" i="2" s="1"/>
  <c r="D21" i="2"/>
  <c r="F21" i="2" s="1"/>
  <c r="D28" i="2"/>
  <c r="F28" i="2" s="1"/>
  <c r="E32" i="2"/>
  <c r="D50" i="2"/>
  <c r="F50" i="2" s="1"/>
  <c r="D75" i="2"/>
  <c r="F75" i="2" s="1"/>
  <c r="E93" i="2"/>
  <c r="D136" i="2"/>
  <c r="F136" i="2" s="1"/>
  <c r="E173" i="2"/>
  <c r="D214" i="2"/>
  <c r="F214" i="2" s="1"/>
  <c r="D229" i="2"/>
  <c r="F229" i="2" s="1"/>
  <c r="D236" i="2"/>
  <c r="F236" i="2" s="1"/>
  <c r="E240" i="2"/>
  <c r="E211" i="2"/>
  <c r="D255" i="2"/>
  <c r="F255" i="2" s="1"/>
  <c r="E90" i="2"/>
  <c r="E112" i="2"/>
  <c r="E163" i="2"/>
  <c r="D11" i="2"/>
  <c r="F11" i="2" s="1"/>
  <c r="D178" i="2"/>
  <c r="F178" i="2" s="1"/>
  <c r="D185" i="2"/>
  <c r="F185" i="2" s="1"/>
  <c r="D200" i="2"/>
  <c r="F200" i="2" s="1"/>
  <c r="D248" i="2"/>
  <c r="F248" i="2" s="1"/>
  <c r="E80" i="2"/>
  <c r="E141" i="2"/>
  <c r="E208" i="2"/>
  <c r="E138" i="2"/>
  <c r="D138" i="2"/>
  <c r="F138" i="2" s="1"/>
  <c r="E179" i="2"/>
  <c r="E106" i="2"/>
  <c r="E128" i="2"/>
  <c r="E205" i="2"/>
  <c r="E253" i="2"/>
  <c r="E45" i="2"/>
  <c r="E157" i="2"/>
  <c r="E224" i="2"/>
  <c r="D154" i="2"/>
  <c r="F154" i="2" s="1"/>
  <c r="D170" i="2"/>
  <c r="F170" i="2" s="1"/>
  <c r="D186" i="2"/>
  <c r="F186" i="2" s="1"/>
  <c r="D202" i="2"/>
  <c r="F202" i="2" s="1"/>
  <c r="D218" i="2"/>
  <c r="F218" i="2" s="1"/>
  <c r="D234" i="2"/>
  <c r="F234" i="2" s="1"/>
  <c r="D250" i="2"/>
  <c r="F250" i="2" s="1"/>
</calcChain>
</file>

<file path=xl/sharedStrings.xml><?xml version="1.0" encoding="utf-8"?>
<sst xmlns="http://schemas.openxmlformats.org/spreadsheetml/2006/main" count="16" uniqueCount="9">
  <si>
    <t>NMOS (W = 10um) — gm/Id vs Id/W Design Table</t>
  </si>
  <si>
    <t>Device Width, W (um)</t>
  </si>
  <si>
    <t>VGS (V)</t>
  </si>
  <si>
    <t>Id (A)</t>
  </si>
  <si>
    <t>gm (S)</t>
  </si>
  <si>
    <t>Id/W (A/um)</t>
  </si>
  <si>
    <t>gm/Id (1/V)</t>
  </si>
  <si>
    <t>Id/W (uA/um)</t>
  </si>
  <si>
    <t>PMOS (W = 10um) — gm/Id vs Id/W Design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</si>
</sst>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E+00"/>
    <numFmt numFmtId="165" formatCode="0.0000"/>
  </numFmts>
  <fonts count="6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1"/>
      <name val="Arial"/>
      <charset val="1"/>
    </font>
    <font>
      <b/>
      <sz val="11"/>
      <color rgb="FF0000FF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0" xfId="0" applyFont="1"/>
    <xf numFmtId="0" fontId="1" fillId="0" borderId="0" xfId="0" applyFont="1"/>
    <xf numFmtId="0" fontId="2" fillId="0" borderId="0" xfId="0" applyFont="1" applyAlignment="1">
      <alignment horizontal="right"/>
    </xf>
    <xf numFmtId="0" fontId="3" fillId="2" borderId="1" xfId="0" applyFont="1" applyFill="1" applyBorder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0" fillId="0" borderId="1" xfId="0" applyNumberFormat="1" applyBorder="1"/>
    <xf numFmtId="2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8080"/>
      <rgbColor rgb="FF1F77B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D62728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8"/>
  <sheetViews>
    <sheetView showGridLines="0" tabSelected="1" zoomScaleNormal="100" workbookViewId="0">
      <pane ySplit="7" topLeftCell="A68" activePane="bottomLeft" state="frozen"/>
      <selection pane="bottomLeft" activeCell="A5" sqref="A5:F5"/>
    </sheetView>
  </sheetViews>
  <sheetFormatPr defaultColWidth="8.6640625" defaultRowHeight="14.4" x14ac:dyDescent="0.3"/>
  <cols>
    <col min="1" max="1" width="22" customWidth="1"/>
    <col min="2" max="4" width="18" customWidth="1"/>
    <col min="5" max="5" width="16" customWidth="1"/>
    <col min="6" max="6" width="18" customWidth="1"/>
  </cols>
  <sheetData>
    <row r="1" spans="1:6" ht="17.399999999999999" x14ac:dyDescent="0.3">
      <c r="A1" s="2" t="s">
        <v>0</v>
      </c>
      <c r="B1" s="2"/>
      <c r="C1" s="2"/>
      <c r="D1" s="2"/>
      <c r="E1" s="2"/>
      <c r="F1" s="2"/>
    </row>
    <row r="3" spans="1:6" x14ac:dyDescent="0.3">
      <c r="A3" s="3" t="s">
        <v>1</v>
      </c>
      <c r="B3" s="4">
        <v>10</v>
      </c>
      <c r="C3" s="5"/>
    </row>
    <row r="5" spans="1:6" x14ac:dyDescent="0.3">
      <c r="A5" s="1"/>
      <c r="B5" s="1"/>
      <c r="C5" s="1"/>
      <c r="D5" s="1"/>
      <c r="E5" s="1"/>
      <c r="F5" s="1"/>
    </row>
    <row r="7" spans="1:6" x14ac:dyDescent="0.3">
      <c r="A7" s="6" t="s">
        <v>2</v>
      </c>
      <c r="B7" s="6" t="s">
        <v>3</v>
      </c>
      <c r="C7" s="6" t="s">
        <v>4</v>
      </c>
      <c r="D7" s="6" t="s">
        <v>5</v>
      </c>
      <c r="E7" s="6" t="s">
        <v>6</v>
      </c>
      <c r="F7" s="6" t="s">
        <v>7</v>
      </c>
    </row>
    <row r="8" spans="1:6" x14ac:dyDescent="0.3">
      <c r="A8" s="7">
        <v>0</v>
      </c>
      <c r="B8" s="8">
        <v>6.6438197999999999E-11</v>
      </c>
      <c r="C8" s="8">
        <v>1.9601834E-9</v>
      </c>
      <c r="D8" s="8">
        <f t="shared" ref="D8:D71" si="0">B8/$B$3</f>
        <v>6.6438197999999997E-12</v>
      </c>
      <c r="E8" s="9">
        <f t="shared" ref="E8:E71" si="1">IFERROR(C8/B8,"")</f>
        <v>29.503861618883764</v>
      </c>
      <c r="F8" s="10">
        <f t="shared" ref="F8:F71" si="2">D8*1000000</f>
        <v>6.6438197999999996E-6</v>
      </c>
    </row>
    <row r="9" spans="1:6" x14ac:dyDescent="0.3">
      <c r="A9" s="7">
        <v>0.01</v>
      </c>
      <c r="B9" s="8">
        <v>8.7512728000000001E-11</v>
      </c>
      <c r="C9" s="8">
        <v>2.4019921000000001E-9</v>
      </c>
      <c r="D9" s="8">
        <f t="shared" si="0"/>
        <v>8.7512728000000001E-12</v>
      </c>
      <c r="E9" s="9">
        <f t="shared" si="1"/>
        <v>27.447345716385392</v>
      </c>
      <c r="F9" s="10">
        <f t="shared" si="2"/>
        <v>8.7512728E-6</v>
      </c>
    </row>
    <row r="10" spans="1:6" x14ac:dyDescent="0.3">
      <c r="A10" s="7">
        <v>0.02</v>
      </c>
      <c r="B10" s="8">
        <v>1.158013E-10</v>
      </c>
      <c r="C10" s="8">
        <v>3.2407781999999999E-9</v>
      </c>
      <c r="D10" s="8">
        <f t="shared" si="0"/>
        <v>1.1580130000000001E-11</v>
      </c>
      <c r="E10" s="9">
        <f t="shared" si="1"/>
        <v>27.985680644345095</v>
      </c>
      <c r="F10" s="10">
        <f t="shared" si="2"/>
        <v>1.1580130000000002E-5</v>
      </c>
    </row>
    <row r="11" spans="1:6" x14ac:dyDescent="0.3">
      <c r="A11" s="7">
        <v>0.03</v>
      </c>
      <c r="B11" s="8">
        <v>1.5377048999999999E-10</v>
      </c>
      <c r="C11" s="8">
        <v>4.3495340999999996E-9</v>
      </c>
      <c r="D11" s="8">
        <f t="shared" si="0"/>
        <v>1.5377048999999999E-11</v>
      </c>
      <c r="E11" s="9">
        <f t="shared" si="1"/>
        <v>28.285883071582852</v>
      </c>
      <c r="F11" s="10">
        <f t="shared" si="2"/>
        <v>1.5377048999999999E-5</v>
      </c>
    </row>
    <row r="12" spans="1:6" x14ac:dyDescent="0.3">
      <c r="A12" s="7">
        <v>0.04</v>
      </c>
      <c r="B12" s="8">
        <v>2.0472249999999999E-10</v>
      </c>
      <c r="C12" s="8">
        <v>5.8360943000000004E-9</v>
      </c>
      <c r="D12" s="8">
        <f t="shared" si="0"/>
        <v>2.0472249999999998E-11</v>
      </c>
      <c r="E12" s="9">
        <f t="shared" si="1"/>
        <v>28.507341889631089</v>
      </c>
      <c r="F12" s="10">
        <f t="shared" si="2"/>
        <v>2.0472249999999997E-5</v>
      </c>
    </row>
    <row r="13" spans="1:6" x14ac:dyDescent="0.3">
      <c r="A13" s="7">
        <v>0.05</v>
      </c>
      <c r="B13" s="8">
        <v>2.7307719999999999E-10</v>
      </c>
      <c r="C13" s="8">
        <v>7.8286052E-9</v>
      </c>
      <c r="D13" s="8">
        <f t="shared" si="0"/>
        <v>2.7307719999999999E-11</v>
      </c>
      <c r="E13" s="9">
        <f t="shared" si="1"/>
        <v>28.668102646431119</v>
      </c>
      <c r="F13" s="10">
        <f t="shared" si="2"/>
        <v>2.7307720000000001E-5</v>
      </c>
    </row>
    <row r="14" spans="1:6" x14ac:dyDescent="0.3">
      <c r="A14" s="7">
        <v>0.06</v>
      </c>
      <c r="B14" s="8">
        <v>3.6475403000000002E-10</v>
      </c>
      <c r="C14" s="8">
        <v>1.0498418E-8</v>
      </c>
      <c r="D14" s="8">
        <f t="shared" si="0"/>
        <v>3.6475403000000002E-11</v>
      </c>
      <c r="E14" s="9">
        <f t="shared" si="1"/>
        <v>28.782185079627496</v>
      </c>
      <c r="F14" s="10">
        <f t="shared" si="2"/>
        <v>3.6475403000000001E-5</v>
      </c>
    </row>
    <row r="15" spans="1:6" x14ac:dyDescent="0.3">
      <c r="A15" s="7">
        <v>7.0000000000000007E-2</v>
      </c>
      <c r="B15" s="8">
        <v>4.8767127E-10</v>
      </c>
      <c r="C15" s="8">
        <v>1.4073948999999999E-8</v>
      </c>
      <c r="D15" s="8">
        <f t="shared" si="0"/>
        <v>4.8767126999999999E-11</v>
      </c>
      <c r="E15" s="9">
        <f t="shared" si="1"/>
        <v>28.859499966032445</v>
      </c>
      <c r="F15" s="10">
        <f t="shared" si="2"/>
        <v>4.8767126999999996E-5</v>
      </c>
    </row>
    <row r="16" spans="1:6" x14ac:dyDescent="0.3">
      <c r="A16" s="7">
        <v>0.08</v>
      </c>
      <c r="B16" s="8">
        <v>6.5241346999999997E-10</v>
      </c>
      <c r="C16" s="8">
        <v>1.8859777E-8</v>
      </c>
      <c r="D16" s="8">
        <f t="shared" si="0"/>
        <v>6.5241346999999995E-11</v>
      </c>
      <c r="E16" s="9">
        <f t="shared" si="1"/>
        <v>28.90770633537042</v>
      </c>
      <c r="F16" s="10">
        <f t="shared" si="2"/>
        <v>6.524134699999999E-5</v>
      </c>
    </row>
    <row r="17" spans="1:6" x14ac:dyDescent="0.3">
      <c r="A17" s="7">
        <v>0.09</v>
      </c>
      <c r="B17" s="8">
        <v>8.7311792999999996E-10</v>
      </c>
      <c r="C17" s="8">
        <v>2.5261733999999999E-8</v>
      </c>
      <c r="D17" s="8">
        <f t="shared" si="0"/>
        <v>8.7311793000000001E-11</v>
      </c>
      <c r="E17" s="9">
        <f t="shared" si="1"/>
        <v>28.93278574636533</v>
      </c>
      <c r="F17" s="10">
        <f t="shared" si="2"/>
        <v>8.7311793000000007E-5</v>
      </c>
    </row>
    <row r="18" spans="1:6" x14ac:dyDescent="0.3">
      <c r="A18" s="7">
        <v>0.1</v>
      </c>
      <c r="B18" s="8">
        <v>1.1686519000000001E-9</v>
      </c>
      <c r="C18" s="8">
        <v>3.3819385999999997E-8</v>
      </c>
      <c r="D18" s="8">
        <f t="shared" si="0"/>
        <v>1.1686519000000001E-10</v>
      </c>
      <c r="E18" s="9">
        <f t="shared" si="1"/>
        <v>28.938802050465153</v>
      </c>
      <c r="F18" s="10">
        <f t="shared" si="2"/>
        <v>1.1686519000000001E-4</v>
      </c>
    </row>
    <row r="19" spans="1:6" x14ac:dyDescent="0.3">
      <c r="A19" s="7">
        <v>0.11</v>
      </c>
      <c r="B19" s="8">
        <v>1.5641628E-9</v>
      </c>
      <c r="C19" s="8">
        <v>4.5249120999999999E-8</v>
      </c>
      <c r="D19" s="8">
        <f t="shared" si="0"/>
        <v>1.5641627999999999E-10</v>
      </c>
      <c r="E19" s="9">
        <f t="shared" si="1"/>
        <v>28.928651800183459</v>
      </c>
      <c r="F19" s="10">
        <f t="shared" si="2"/>
        <v>1.5641627999999998E-4</v>
      </c>
    </row>
    <row r="20" spans="1:6" x14ac:dyDescent="0.3">
      <c r="A20" s="7">
        <v>0.12</v>
      </c>
      <c r="B20" s="8">
        <v>2.0931316999999999E-9</v>
      </c>
      <c r="C20" s="8">
        <v>6.0500323E-8</v>
      </c>
      <c r="D20" s="8">
        <f t="shared" si="0"/>
        <v>2.0931316999999998E-10</v>
      </c>
      <c r="E20" s="9">
        <f t="shared" si="1"/>
        <v>28.904212286307644</v>
      </c>
      <c r="F20" s="10">
        <f t="shared" si="2"/>
        <v>2.0931316999999998E-4</v>
      </c>
    </row>
    <row r="21" spans="1:6" x14ac:dyDescent="0.3">
      <c r="A21" s="7">
        <v>0.13</v>
      </c>
      <c r="B21" s="8">
        <v>2.8000673999999998E-9</v>
      </c>
      <c r="C21" s="8">
        <v>8.0829053999999999E-8</v>
      </c>
      <c r="D21" s="8">
        <f t="shared" si="0"/>
        <v>2.8000674E-10</v>
      </c>
      <c r="E21" s="9">
        <f t="shared" si="1"/>
        <v>28.866824420012176</v>
      </c>
      <c r="F21" s="10">
        <f t="shared" si="2"/>
        <v>2.8000673999999999E-4</v>
      </c>
    </row>
    <row r="22" spans="1:6" x14ac:dyDescent="0.3">
      <c r="A22" s="7">
        <v>0.14000000000000001</v>
      </c>
      <c r="B22" s="8">
        <v>3.7440539000000001E-9</v>
      </c>
      <c r="C22" s="8">
        <v>1.0789298000000001E-7</v>
      </c>
      <c r="D22" s="8">
        <f t="shared" si="0"/>
        <v>3.7440538999999999E-10</v>
      </c>
      <c r="E22" s="9">
        <f t="shared" si="1"/>
        <v>28.817154582096162</v>
      </c>
      <c r="F22" s="10">
        <f t="shared" si="2"/>
        <v>3.7440538999999998E-4</v>
      </c>
    </row>
    <row r="23" spans="1:6" x14ac:dyDescent="0.3">
      <c r="A23" s="7">
        <v>0.15</v>
      </c>
      <c r="B23" s="8">
        <v>5.0033717999999996E-9</v>
      </c>
      <c r="C23" s="8">
        <v>1.4387270999999999E-7</v>
      </c>
      <c r="D23" s="8">
        <f t="shared" si="0"/>
        <v>5.0033718E-10</v>
      </c>
      <c r="E23" s="9">
        <f t="shared" si="1"/>
        <v>28.755150676589736</v>
      </c>
      <c r="F23" s="10">
        <f t="shared" si="2"/>
        <v>5.0033718000000004E-4</v>
      </c>
    </row>
    <row r="24" spans="1:6" x14ac:dyDescent="0.3">
      <c r="A24" s="7">
        <v>0.16</v>
      </c>
      <c r="B24" s="8">
        <v>6.6815191999999996E-9</v>
      </c>
      <c r="C24" s="8">
        <v>1.91631E-7</v>
      </c>
      <c r="D24" s="8">
        <f t="shared" si="0"/>
        <v>6.6815191999999998E-10</v>
      </c>
      <c r="E24" s="9">
        <f t="shared" si="1"/>
        <v>28.680752724619875</v>
      </c>
      <c r="F24" s="10">
        <f t="shared" si="2"/>
        <v>6.6815191999999998E-4</v>
      </c>
    </row>
    <row r="25" spans="1:6" x14ac:dyDescent="0.3">
      <c r="A25" s="7">
        <v>0.17</v>
      </c>
      <c r="B25" s="8">
        <v>8.9150426999999995E-9</v>
      </c>
      <c r="C25" s="8">
        <v>2.5491171999999999E-7</v>
      </c>
      <c r="D25" s="8">
        <f t="shared" si="0"/>
        <v>8.9150426999999997E-10</v>
      </c>
      <c r="E25" s="9">
        <f t="shared" si="1"/>
        <v>28.593437920381469</v>
      </c>
      <c r="F25" s="10">
        <f t="shared" si="2"/>
        <v>8.9150427E-4</v>
      </c>
    </row>
    <row r="26" spans="1:6" x14ac:dyDescent="0.3">
      <c r="A26" s="7">
        <v>0.18</v>
      </c>
      <c r="B26" s="8">
        <v>1.1883600000000001E-8</v>
      </c>
      <c r="C26" s="8">
        <v>3.3859303999999998E-7</v>
      </c>
      <c r="D26" s="8">
        <f t="shared" si="0"/>
        <v>1.18836E-9</v>
      </c>
      <c r="E26" s="9">
        <f t="shared" si="1"/>
        <v>28.492463563229993</v>
      </c>
      <c r="F26" s="10">
        <f t="shared" si="2"/>
        <v>1.1883600000000001E-3</v>
      </c>
    </row>
    <row r="27" spans="1:6" x14ac:dyDescent="0.3">
      <c r="A27" s="7">
        <v>0.19</v>
      </c>
      <c r="B27" s="8">
        <v>1.5822915999999999E-8</v>
      </c>
      <c r="C27" s="8">
        <v>4.4900823999999999E-7</v>
      </c>
      <c r="D27" s="8">
        <f t="shared" si="0"/>
        <v>1.5822915999999998E-9</v>
      </c>
      <c r="E27" s="9">
        <f t="shared" si="1"/>
        <v>28.377085487908804</v>
      </c>
      <c r="F27" s="10">
        <f t="shared" si="2"/>
        <v>1.5822915999999998E-3</v>
      </c>
    </row>
    <row r="28" spans="1:6" x14ac:dyDescent="0.3">
      <c r="A28" s="7">
        <v>0.2</v>
      </c>
      <c r="B28" s="8">
        <v>2.1041316000000001E-8</v>
      </c>
      <c r="C28" s="8">
        <v>5.943409E-7</v>
      </c>
      <c r="D28" s="8">
        <f t="shared" si="0"/>
        <v>2.1041315999999999E-9</v>
      </c>
      <c r="E28" s="9">
        <f t="shared" si="1"/>
        <v>28.246374894041796</v>
      </c>
      <c r="F28" s="10">
        <f t="shared" si="2"/>
        <v>2.1041315999999997E-3</v>
      </c>
    </row>
    <row r="29" spans="1:6" x14ac:dyDescent="0.3">
      <c r="A29" s="7">
        <v>0.21</v>
      </c>
      <c r="B29" s="8">
        <v>2.7940685000000001E-8</v>
      </c>
      <c r="C29" s="8">
        <v>7.8511801000000001E-7</v>
      </c>
      <c r="D29" s="8">
        <f t="shared" si="0"/>
        <v>2.7940685E-9</v>
      </c>
      <c r="E29" s="9">
        <f t="shared" si="1"/>
        <v>28.099454612512183</v>
      </c>
      <c r="F29" s="10">
        <f t="shared" si="2"/>
        <v>2.7940685E-3</v>
      </c>
    </row>
    <row r="30" spans="1:6" x14ac:dyDescent="0.3">
      <c r="A30" s="7">
        <v>0.22</v>
      </c>
      <c r="B30" s="8">
        <v>3.7042939E-8</v>
      </c>
      <c r="C30" s="8">
        <v>1.0348157E-6</v>
      </c>
      <c r="D30" s="8">
        <f t="shared" si="0"/>
        <v>3.7042938999999998E-9</v>
      </c>
      <c r="E30" s="9">
        <f t="shared" si="1"/>
        <v>27.935572282750027</v>
      </c>
      <c r="F30" s="10">
        <f t="shared" si="2"/>
        <v>3.7042938999999999E-3</v>
      </c>
    </row>
    <row r="31" spans="1:6" x14ac:dyDescent="0.3">
      <c r="A31" s="7">
        <v>0.23</v>
      </c>
      <c r="B31" s="8">
        <v>4.9023208000000002E-8</v>
      </c>
      <c r="C31" s="8">
        <v>1.3605968999999999E-6</v>
      </c>
      <c r="D31" s="8">
        <f t="shared" si="0"/>
        <v>4.9023208000000003E-9</v>
      </c>
      <c r="E31" s="9">
        <f t="shared" si="1"/>
        <v>27.754138407262126</v>
      </c>
      <c r="F31" s="10">
        <f t="shared" si="2"/>
        <v>4.9023208000000002E-3</v>
      </c>
    </row>
    <row r="32" spans="1:6" x14ac:dyDescent="0.3">
      <c r="A32" s="7">
        <v>0.24</v>
      </c>
      <c r="B32" s="8">
        <v>6.4751199000000002E-8</v>
      </c>
      <c r="C32" s="8">
        <v>1.7842097E-6</v>
      </c>
      <c r="D32" s="8">
        <f t="shared" si="0"/>
        <v>6.4751199000000002E-9</v>
      </c>
      <c r="E32" s="9">
        <f t="shared" si="1"/>
        <v>27.554851918649412</v>
      </c>
      <c r="F32" s="10">
        <f t="shared" si="2"/>
        <v>6.4751199000000004E-3</v>
      </c>
    </row>
    <row r="33" spans="1:6" x14ac:dyDescent="0.3">
      <c r="A33" s="7">
        <v>0.25</v>
      </c>
      <c r="B33" s="8">
        <v>8.5342494000000003E-8</v>
      </c>
      <c r="C33" s="8">
        <v>2.3330756000000002E-6</v>
      </c>
      <c r="D33" s="8">
        <f t="shared" si="0"/>
        <v>8.5342494000000006E-9</v>
      </c>
      <c r="E33" s="9">
        <f t="shared" si="1"/>
        <v>27.337794932498692</v>
      </c>
      <c r="F33" s="10">
        <f t="shared" si="2"/>
        <v>8.5342494000000008E-3</v>
      </c>
    </row>
    <row r="34" spans="1:6" x14ac:dyDescent="0.3">
      <c r="A34" s="7">
        <v>0.26</v>
      </c>
      <c r="B34" s="8">
        <v>1.1222188E-7</v>
      </c>
      <c r="C34" s="8">
        <v>3.0416076999999998E-6</v>
      </c>
      <c r="D34" s="8">
        <f t="shared" si="0"/>
        <v>1.1222188E-8</v>
      </c>
      <c r="E34" s="9">
        <f t="shared" si="1"/>
        <v>27.103517602806154</v>
      </c>
      <c r="F34" s="10">
        <f t="shared" si="2"/>
        <v>1.1222187999999999E-2</v>
      </c>
    </row>
    <row r="35" spans="1:6" x14ac:dyDescent="0.3">
      <c r="A35" s="7">
        <v>0.27</v>
      </c>
      <c r="B35" s="8">
        <v>1.4720127E-7</v>
      </c>
      <c r="C35" s="8">
        <v>3.9528072000000004E-6</v>
      </c>
      <c r="D35" s="8">
        <f t="shared" si="0"/>
        <v>1.4720127E-8</v>
      </c>
      <c r="E35" s="9">
        <f t="shared" si="1"/>
        <v>26.853078101839749</v>
      </c>
      <c r="F35" s="10">
        <f t="shared" si="2"/>
        <v>1.4720127E-2</v>
      </c>
    </row>
    <row r="36" spans="1:6" x14ac:dyDescent="0.3">
      <c r="A36" s="7">
        <v>0.28000000000000003</v>
      </c>
      <c r="B36" s="8">
        <v>1.9257521000000001E-7</v>
      </c>
      <c r="C36" s="8">
        <v>5.1201996999999999E-6</v>
      </c>
      <c r="D36" s="8">
        <f t="shared" si="0"/>
        <v>1.9257521000000002E-8</v>
      </c>
      <c r="E36" s="9">
        <f t="shared" si="1"/>
        <v>26.588052013548367</v>
      </c>
      <c r="F36" s="10">
        <f t="shared" si="2"/>
        <v>1.9257521000000003E-2</v>
      </c>
    </row>
    <row r="37" spans="1:6" x14ac:dyDescent="0.3">
      <c r="A37" s="7">
        <v>0.28999999999999998</v>
      </c>
      <c r="B37" s="8">
        <v>2.5123790000000002E-7</v>
      </c>
      <c r="C37" s="8">
        <v>6.6101763999999998E-6</v>
      </c>
      <c r="D37" s="8">
        <f t="shared" si="0"/>
        <v>2.5123790000000003E-8</v>
      </c>
      <c r="E37" s="9">
        <f t="shared" si="1"/>
        <v>26.310426890210429</v>
      </c>
      <c r="F37" s="10">
        <f t="shared" si="2"/>
        <v>2.5123790000000003E-2</v>
      </c>
    </row>
    <row r="38" spans="1:6" x14ac:dyDescent="0.3">
      <c r="A38" s="7">
        <v>0.3</v>
      </c>
      <c r="B38" s="8">
        <v>3.2682572000000001E-7</v>
      </c>
      <c r="C38" s="8">
        <v>8.5047937000000007E-6</v>
      </c>
      <c r="D38" s="8">
        <f t="shared" si="0"/>
        <v>3.2682571999999998E-8</v>
      </c>
      <c r="E38" s="9">
        <f t="shared" si="1"/>
        <v>26.022412495564915</v>
      </c>
      <c r="F38" s="10">
        <f t="shared" si="2"/>
        <v>3.2682572E-2</v>
      </c>
    </row>
    <row r="39" spans="1:6" x14ac:dyDescent="0.3">
      <c r="A39" s="7">
        <v>0.31</v>
      </c>
      <c r="B39" s="8">
        <v>4.2389019000000002E-7</v>
      </c>
      <c r="C39" s="8">
        <v>1.0905044E-5</v>
      </c>
      <c r="D39" s="8">
        <f t="shared" si="0"/>
        <v>4.2389018999999999E-8</v>
      </c>
      <c r="E39" s="9">
        <f t="shared" si="1"/>
        <v>25.726106093656</v>
      </c>
      <c r="F39" s="10">
        <f t="shared" si="2"/>
        <v>4.2389019E-2</v>
      </c>
    </row>
    <row r="40" spans="1:6" x14ac:dyDescent="0.3">
      <c r="A40" s="7">
        <v>0.32</v>
      </c>
      <c r="B40" s="8">
        <v>5.4810544999999996E-7</v>
      </c>
      <c r="C40" s="8">
        <v>1.3934506999999999E-5</v>
      </c>
      <c r="D40" s="8">
        <f t="shared" si="0"/>
        <v>5.4810544999999997E-8</v>
      </c>
      <c r="E40" s="9">
        <f t="shared" si="1"/>
        <v>25.423040402170788</v>
      </c>
      <c r="F40" s="10">
        <f t="shared" si="2"/>
        <v>5.4810544999999995E-2</v>
      </c>
    </row>
    <row r="41" spans="1:6" x14ac:dyDescent="0.3">
      <c r="A41" s="7">
        <v>0.33</v>
      </c>
      <c r="B41" s="8">
        <v>7.0651276999999998E-7</v>
      </c>
      <c r="C41" s="8">
        <v>1.7743114000000001E-5</v>
      </c>
      <c r="D41" s="8">
        <f t="shared" si="0"/>
        <v>7.0651277000000001E-8</v>
      </c>
      <c r="E41" s="9">
        <f t="shared" si="1"/>
        <v>25.113649396599019</v>
      </c>
      <c r="F41" s="10">
        <f t="shared" si="2"/>
        <v>7.0651276999999998E-2</v>
      </c>
    </row>
    <row r="42" spans="1:6" x14ac:dyDescent="0.3">
      <c r="A42" s="7">
        <v>0.34</v>
      </c>
      <c r="B42" s="8">
        <v>9.0780062999999997E-7</v>
      </c>
      <c r="C42" s="8">
        <v>2.2510501E-5</v>
      </c>
      <c r="D42" s="8">
        <f t="shared" si="0"/>
        <v>9.0780063E-8</v>
      </c>
      <c r="E42" s="9">
        <f t="shared" si="1"/>
        <v>24.796745294173238</v>
      </c>
      <c r="F42" s="10">
        <f t="shared" si="2"/>
        <v>9.0780062999999994E-2</v>
      </c>
    </row>
    <row r="43" spans="1:6" x14ac:dyDescent="0.3">
      <c r="A43" s="7">
        <v>0.35</v>
      </c>
      <c r="B43" s="8">
        <v>1.1626120999999999E-6</v>
      </c>
      <c r="C43" s="8">
        <v>2.8448104000000001E-5</v>
      </c>
      <c r="D43" s="8">
        <f t="shared" si="0"/>
        <v>1.1626120999999999E-7</v>
      </c>
      <c r="E43" s="9">
        <f t="shared" si="1"/>
        <v>24.469127751207822</v>
      </c>
      <c r="F43" s="10">
        <f t="shared" si="2"/>
        <v>0.11626120999999999</v>
      </c>
    </row>
    <row r="44" spans="1:6" x14ac:dyDescent="0.3">
      <c r="A44" s="7">
        <v>0.36</v>
      </c>
      <c r="B44" s="8">
        <v>1.4838612999999999E-6</v>
      </c>
      <c r="C44" s="8">
        <v>3.5798847000000002E-5</v>
      </c>
      <c r="D44" s="8">
        <f t="shared" si="0"/>
        <v>1.4838612999999998E-7</v>
      </c>
      <c r="E44" s="9">
        <f t="shared" si="1"/>
        <v>24.125467117445549</v>
      </c>
      <c r="F44" s="10">
        <f t="shared" si="2"/>
        <v>0.14838612999999998</v>
      </c>
    </row>
    <row r="45" spans="1:6" x14ac:dyDescent="0.3">
      <c r="A45" s="7">
        <v>0.37</v>
      </c>
      <c r="B45" s="8">
        <v>1.8870283000000001E-6</v>
      </c>
      <c r="C45" s="8">
        <v>4.4833127000000003E-5</v>
      </c>
      <c r="D45" s="8">
        <f t="shared" si="0"/>
        <v>1.8870283000000001E-7</v>
      </c>
      <c r="E45" s="9">
        <f t="shared" si="1"/>
        <v>23.758587510319799</v>
      </c>
      <c r="F45" s="10">
        <f t="shared" si="2"/>
        <v>0.18870283000000002</v>
      </c>
    </row>
    <row r="46" spans="1:6" x14ac:dyDescent="0.3">
      <c r="A46" s="7">
        <v>0.38</v>
      </c>
      <c r="B46" s="8">
        <v>2.3903901000000001E-6</v>
      </c>
      <c r="C46" s="8">
        <v>5.5839918999999999E-5</v>
      </c>
      <c r="D46" s="8">
        <f t="shared" si="0"/>
        <v>2.3903901000000001E-7</v>
      </c>
      <c r="E46" s="9">
        <f t="shared" si="1"/>
        <v>23.360169957196526</v>
      </c>
      <c r="F46" s="10">
        <f t="shared" si="2"/>
        <v>0.23903901000000002</v>
      </c>
    </row>
    <row r="47" spans="1:6" x14ac:dyDescent="0.3">
      <c r="A47" s="7">
        <v>0.39</v>
      </c>
      <c r="B47" s="8">
        <v>3.0151346999999998E-6</v>
      </c>
      <c r="C47" s="8">
        <v>6.9112372999999999E-5</v>
      </c>
      <c r="D47" s="8">
        <f t="shared" si="0"/>
        <v>3.0151346999999999E-7</v>
      </c>
      <c r="E47" s="9">
        <f t="shared" si="1"/>
        <v>22.921819380076123</v>
      </c>
      <c r="F47" s="10">
        <f t="shared" si="2"/>
        <v>0.30151347000000001</v>
      </c>
    </row>
    <row r="48" spans="1:6" x14ac:dyDescent="0.3">
      <c r="A48" s="7">
        <v>0.4</v>
      </c>
      <c r="B48" s="8">
        <v>3.7853061000000001E-6</v>
      </c>
      <c r="C48" s="8">
        <v>8.4928233999999997E-5</v>
      </c>
      <c r="D48" s="8">
        <f t="shared" si="0"/>
        <v>3.7853061000000003E-7</v>
      </c>
      <c r="E48" s="9">
        <f t="shared" si="1"/>
        <v>22.436292272373954</v>
      </c>
      <c r="F48" s="10">
        <f t="shared" si="2"/>
        <v>0.37853061000000005</v>
      </c>
    </row>
    <row r="49" spans="1:6" x14ac:dyDescent="0.3">
      <c r="A49" s="7">
        <v>0.41</v>
      </c>
      <c r="B49" s="8">
        <v>4.7275345000000003E-6</v>
      </c>
      <c r="C49" s="8">
        <v>1.0352663E-4</v>
      </c>
      <c r="D49" s="8">
        <f t="shared" si="0"/>
        <v>4.7275345000000002E-7</v>
      </c>
      <c r="E49" s="9">
        <f t="shared" si="1"/>
        <v>21.898651400640226</v>
      </c>
      <c r="F49" s="10">
        <f t="shared" si="2"/>
        <v>0.47275345000000002</v>
      </c>
    </row>
    <row r="50" spans="1:6" x14ac:dyDescent="0.3">
      <c r="A50" s="7">
        <v>0.42</v>
      </c>
      <c r="B50" s="8">
        <v>5.8705303000000002E-6</v>
      </c>
      <c r="C50" s="8">
        <v>1.2508401000000001E-4</v>
      </c>
      <c r="D50" s="8">
        <f t="shared" si="0"/>
        <v>5.8705303000000004E-7</v>
      </c>
      <c r="E50" s="9">
        <f t="shared" si="1"/>
        <v>21.307105765215113</v>
      </c>
      <c r="F50" s="10">
        <f t="shared" si="2"/>
        <v>0.58705303000000009</v>
      </c>
    </row>
    <row r="51" spans="1:6" x14ac:dyDescent="0.3">
      <c r="A51" s="7">
        <v>0.43</v>
      </c>
      <c r="B51" s="8">
        <v>7.2443492E-6</v>
      </c>
      <c r="C51" s="8">
        <v>1.4969262000000001E-4</v>
      </c>
      <c r="D51" s="8">
        <f t="shared" si="0"/>
        <v>7.2443492000000004E-7</v>
      </c>
      <c r="E51" s="9">
        <f t="shared" si="1"/>
        <v>20.663363383973817</v>
      </c>
      <c r="F51" s="10">
        <f t="shared" si="2"/>
        <v>0.72443492000000009</v>
      </c>
    </row>
    <row r="52" spans="1:6" x14ac:dyDescent="0.3">
      <c r="A52" s="7">
        <v>0.44</v>
      </c>
      <c r="B52" s="8">
        <v>8.8794733999999995E-6</v>
      </c>
      <c r="C52" s="8">
        <v>1.7734523999999999E-4</v>
      </c>
      <c r="D52" s="8">
        <f t="shared" si="0"/>
        <v>8.8794733999999999E-7</v>
      </c>
      <c r="E52" s="9">
        <f t="shared" si="1"/>
        <v>19.972495215763583</v>
      </c>
      <c r="F52" s="10">
        <f t="shared" si="2"/>
        <v>0.88794733999999997</v>
      </c>
    </row>
    <row r="53" spans="1:6" x14ac:dyDescent="0.3">
      <c r="A53" s="7">
        <v>0.45</v>
      </c>
      <c r="B53" s="8">
        <v>1.0805784E-5</v>
      </c>
      <c r="C53" s="8">
        <v>2.0792881000000001E-4</v>
      </c>
      <c r="D53" s="8">
        <f t="shared" si="0"/>
        <v>1.0805784000000001E-6</v>
      </c>
      <c r="E53" s="9">
        <f t="shared" si="1"/>
        <v>19.242362238593703</v>
      </c>
      <c r="F53" s="10">
        <f t="shared" si="2"/>
        <v>1.0805784</v>
      </c>
    </row>
    <row r="54" spans="1:6" x14ac:dyDescent="0.3">
      <c r="A54" s="7">
        <v>0.46</v>
      </c>
      <c r="B54" s="8">
        <v>1.305152E-5</v>
      </c>
      <c r="C54" s="8">
        <v>2.4122820999999999E-4</v>
      </c>
      <c r="D54" s="8">
        <f t="shared" si="0"/>
        <v>1.305152E-6</v>
      </c>
      <c r="E54" s="9">
        <f t="shared" si="1"/>
        <v>18.482767524395626</v>
      </c>
      <c r="F54" s="10">
        <f t="shared" si="2"/>
        <v>1.3051519999999999</v>
      </c>
    </row>
    <row r="55" spans="1:6" x14ac:dyDescent="0.3">
      <c r="A55" s="7">
        <v>0.47</v>
      </c>
      <c r="B55" s="8">
        <v>1.5642327000000002E-5</v>
      </c>
      <c r="C55" s="8">
        <v>2.7693983999999998E-4</v>
      </c>
      <c r="D55" s="8">
        <f t="shared" si="0"/>
        <v>1.5642327000000002E-6</v>
      </c>
      <c r="E55" s="9">
        <f t="shared" si="1"/>
        <v>17.704516725676427</v>
      </c>
      <c r="F55" s="10">
        <f t="shared" si="2"/>
        <v>1.5642327000000003</v>
      </c>
    </row>
    <row r="56" spans="1:6" x14ac:dyDescent="0.3">
      <c r="A56" s="7">
        <v>0.48</v>
      </c>
      <c r="B56" s="8">
        <v>1.8600471999999999E-5</v>
      </c>
      <c r="C56" s="8">
        <v>3.1469278000000002E-4</v>
      </c>
      <c r="D56" s="8">
        <f t="shared" si="0"/>
        <v>1.8600471999999999E-6</v>
      </c>
      <c r="E56" s="9">
        <f t="shared" si="1"/>
        <v>16.918537336041798</v>
      </c>
      <c r="F56" s="10">
        <f t="shared" si="2"/>
        <v>1.8600471999999999</v>
      </c>
    </row>
    <row r="57" spans="1:6" x14ac:dyDescent="0.3">
      <c r="A57" s="7">
        <v>0.49</v>
      </c>
      <c r="B57" s="8">
        <v>2.1944306999999998E-5</v>
      </c>
      <c r="C57" s="8">
        <v>3.5407443999999999E-4</v>
      </c>
      <c r="D57" s="8">
        <f t="shared" si="0"/>
        <v>2.1944306999999997E-6</v>
      </c>
      <c r="E57" s="9">
        <f t="shared" si="1"/>
        <v>16.135138831223973</v>
      </c>
      <c r="F57" s="10">
        <f t="shared" si="2"/>
        <v>2.1944306999999998</v>
      </c>
    </row>
    <row r="58" spans="1:6" x14ac:dyDescent="0.3">
      <c r="A58" s="7">
        <v>0.5</v>
      </c>
      <c r="B58" s="8">
        <v>2.5687977999999998E-5</v>
      </c>
      <c r="C58" s="8">
        <v>3.9465734000000002E-4</v>
      </c>
      <c r="D58" s="8">
        <f t="shared" si="0"/>
        <v>2.5687977999999999E-6</v>
      </c>
      <c r="E58" s="9">
        <f t="shared" si="1"/>
        <v>15.363503503467655</v>
      </c>
      <c r="F58" s="10">
        <f t="shared" si="2"/>
        <v>2.5687978</v>
      </c>
    </row>
    <row r="59" spans="1:6" x14ac:dyDescent="0.3">
      <c r="A59" s="7">
        <v>0.51</v>
      </c>
      <c r="B59" s="8">
        <v>2.9841405999999998E-5</v>
      </c>
      <c r="C59" s="8">
        <v>4.3602369000000002E-4</v>
      </c>
      <c r="D59" s="8">
        <f t="shared" si="0"/>
        <v>2.9841405999999998E-6</v>
      </c>
      <c r="E59" s="9">
        <f t="shared" si="1"/>
        <v>14.611365496652539</v>
      </c>
      <c r="F59" s="10">
        <f t="shared" si="2"/>
        <v>2.9841405999999999</v>
      </c>
    </row>
    <row r="60" spans="1:6" x14ac:dyDescent="0.3">
      <c r="A60" s="7">
        <v>0.52</v>
      </c>
      <c r="B60" s="8">
        <v>3.4410484000000002E-5</v>
      </c>
      <c r="C60" s="8">
        <v>4.7778574999999998E-4</v>
      </c>
      <c r="D60" s="8">
        <f t="shared" si="0"/>
        <v>3.4410484E-6</v>
      </c>
      <c r="E60" s="9">
        <f t="shared" si="1"/>
        <v>13.884888977440712</v>
      </c>
      <c r="F60" s="10">
        <f t="shared" si="2"/>
        <v>3.4410484000000001</v>
      </c>
    </row>
    <row r="61" spans="1:6" x14ac:dyDescent="0.3">
      <c r="A61" s="7">
        <v>0.53</v>
      </c>
      <c r="B61" s="8">
        <v>3.939745E-5</v>
      </c>
      <c r="C61" s="8">
        <v>5.1960050000000001E-4</v>
      </c>
      <c r="D61" s="8">
        <f t="shared" si="0"/>
        <v>3.9397450000000003E-6</v>
      </c>
      <c r="E61" s="9">
        <f t="shared" si="1"/>
        <v>13.188683531548362</v>
      </c>
      <c r="F61" s="10">
        <f t="shared" si="2"/>
        <v>3.9397450000000003</v>
      </c>
    </row>
    <row r="62" spans="1:6" x14ac:dyDescent="0.3">
      <c r="A62" s="7">
        <v>0.54</v>
      </c>
      <c r="B62" s="8">
        <v>4.4801381000000002E-5</v>
      </c>
      <c r="C62" s="8">
        <v>5.6117848999999995E-4</v>
      </c>
      <c r="D62" s="8">
        <f t="shared" si="0"/>
        <v>4.4801381000000002E-6</v>
      </c>
      <c r="E62" s="9">
        <f t="shared" si="1"/>
        <v>12.525919457706001</v>
      </c>
      <c r="F62" s="10">
        <f t="shared" si="2"/>
        <v>4.4801381000000005</v>
      </c>
    </row>
    <row r="63" spans="1:6" x14ac:dyDescent="0.3">
      <c r="A63" s="7">
        <v>0.55000000000000004</v>
      </c>
      <c r="B63" s="8">
        <v>5.0618743000000001E-5</v>
      </c>
      <c r="C63" s="8">
        <v>6.0228726000000001E-4</v>
      </c>
      <c r="D63" s="8">
        <f t="shared" si="0"/>
        <v>5.0618743000000001E-6</v>
      </c>
      <c r="E63" s="9">
        <f t="shared" si="1"/>
        <v>11.89850289249577</v>
      </c>
      <c r="F63" s="10">
        <f t="shared" si="2"/>
        <v>5.0618743000000004</v>
      </c>
    </row>
    <row r="64" spans="1:6" x14ac:dyDescent="0.3">
      <c r="A64" s="7">
        <v>0.56000000000000005</v>
      </c>
      <c r="B64" s="8">
        <v>5.6843962000000003E-5</v>
      </c>
      <c r="C64" s="8">
        <v>6.4275042000000004E-4</v>
      </c>
      <c r="D64" s="8">
        <f t="shared" si="0"/>
        <v>5.6843961999999999E-6</v>
      </c>
      <c r="E64" s="9">
        <f t="shared" si="1"/>
        <v>11.307276927670875</v>
      </c>
      <c r="F64" s="10">
        <f t="shared" si="2"/>
        <v>5.6843962000000001</v>
      </c>
    </row>
    <row r="65" spans="1:6" x14ac:dyDescent="0.3">
      <c r="A65" s="7">
        <v>0.56999999999999995</v>
      </c>
      <c r="B65" s="8">
        <v>6.3469956999999996E-5</v>
      </c>
      <c r="C65" s="8">
        <v>6.8244336E-4</v>
      </c>
      <c r="D65" s="8">
        <f t="shared" si="0"/>
        <v>6.3469956999999996E-6</v>
      </c>
      <c r="E65" s="9">
        <f t="shared" si="1"/>
        <v>10.752226600689205</v>
      </c>
      <c r="F65" s="10">
        <f t="shared" si="2"/>
        <v>6.3469956999999999</v>
      </c>
    </row>
    <row r="66" spans="1:6" x14ac:dyDescent="0.3">
      <c r="A66" s="7">
        <v>0.57999999999999996</v>
      </c>
      <c r="B66" s="8">
        <v>7.0488629999999997E-5</v>
      </c>
      <c r="C66" s="8">
        <v>7.2128703999999998E-4</v>
      </c>
      <c r="D66" s="8">
        <f t="shared" si="0"/>
        <v>7.048863E-6</v>
      </c>
      <c r="E66" s="9">
        <f t="shared" si="1"/>
        <v>10.232672134498856</v>
      </c>
      <c r="F66" s="10">
        <f t="shared" si="2"/>
        <v>7.0488629999999999</v>
      </c>
    </row>
    <row r="67" spans="1:6" x14ac:dyDescent="0.3">
      <c r="A67" s="7">
        <v>0.59</v>
      </c>
      <c r="B67" s="8">
        <v>7.7891285999999999E-5</v>
      </c>
      <c r="C67" s="8">
        <v>7.5924064000000005E-4</v>
      </c>
      <c r="D67" s="8">
        <f t="shared" si="0"/>
        <v>7.7891285999999992E-6</v>
      </c>
      <c r="E67" s="9">
        <f t="shared" si="1"/>
        <v>9.7474400409822479</v>
      </c>
      <c r="F67" s="10">
        <f t="shared" si="2"/>
        <v>7.7891285999999988</v>
      </c>
    </row>
    <row r="68" spans="1:6" x14ac:dyDescent="0.3">
      <c r="A68" s="7">
        <v>0.6</v>
      </c>
      <c r="B68" s="8">
        <v>8.5668971999999999E-5</v>
      </c>
      <c r="C68" s="8">
        <v>7.9629400999999998E-4</v>
      </c>
      <c r="D68" s="8">
        <f t="shared" si="0"/>
        <v>8.5668971999999992E-6</v>
      </c>
      <c r="E68" s="9">
        <f t="shared" si="1"/>
        <v>9.2950106836813688</v>
      </c>
      <c r="F68" s="10">
        <f t="shared" si="2"/>
        <v>8.5668971999999997</v>
      </c>
    </row>
    <row r="69" spans="1:6" x14ac:dyDescent="0.3">
      <c r="A69" s="7">
        <v>0.61</v>
      </c>
      <c r="B69" s="8">
        <v>9.3812753000000002E-5</v>
      </c>
      <c r="C69" s="8">
        <v>8.3246047999999996E-4</v>
      </c>
      <c r="D69" s="8">
        <f t="shared" si="0"/>
        <v>9.3812753000000009E-6</v>
      </c>
      <c r="E69" s="9">
        <f t="shared" si="1"/>
        <v>8.8736387471754501</v>
      </c>
      <c r="F69" s="10">
        <f t="shared" si="2"/>
        <v>9.3812753000000004</v>
      </c>
    </row>
    <row r="70" spans="1:6" x14ac:dyDescent="0.3">
      <c r="A70" s="7">
        <v>0.62</v>
      </c>
      <c r="B70" s="8">
        <v>1.0231391E-4</v>
      </c>
      <c r="C70" s="8">
        <v>8.6777038999999998E-4</v>
      </c>
      <c r="D70" s="8">
        <f t="shared" si="0"/>
        <v>1.0231391E-5</v>
      </c>
      <c r="E70" s="9">
        <f t="shared" si="1"/>
        <v>8.4814507626577846</v>
      </c>
      <c r="F70" s="10">
        <f t="shared" si="2"/>
        <v>10.231391</v>
      </c>
    </row>
    <row r="71" spans="1:6" x14ac:dyDescent="0.3">
      <c r="A71" s="7">
        <v>0.63</v>
      </c>
      <c r="B71" s="8">
        <v>1.111641E-4</v>
      </c>
      <c r="C71" s="8">
        <v>9.0226553999999998E-4</v>
      </c>
      <c r="D71" s="8">
        <f t="shared" si="0"/>
        <v>1.111641E-5</v>
      </c>
      <c r="E71" s="9">
        <f t="shared" si="1"/>
        <v>8.116519092045003</v>
      </c>
      <c r="F71" s="10">
        <f t="shared" si="2"/>
        <v>11.11641</v>
      </c>
    </row>
    <row r="72" spans="1:6" x14ac:dyDescent="0.3">
      <c r="A72" s="7">
        <v>0.64</v>
      </c>
      <c r="B72" s="8">
        <v>1.203554E-4</v>
      </c>
      <c r="C72" s="8">
        <v>9.3599459000000002E-4</v>
      </c>
      <c r="D72" s="8">
        <f t="shared" ref="D72:D135" si="3">B72/$B$3</f>
        <v>1.203554E-5</v>
      </c>
      <c r="E72" s="9">
        <f t="shared" ref="E72:E135" si="4">IFERROR(C72/B72,"")</f>
        <v>7.7769222652244938</v>
      </c>
      <c r="F72" s="10">
        <f t="shared" ref="F72:F135" si="5">D72*1000000</f>
        <v>12.035539999999999</v>
      </c>
    </row>
    <row r="73" spans="1:6" x14ac:dyDescent="0.3">
      <c r="A73" s="7">
        <v>0.65</v>
      </c>
      <c r="B73" s="8">
        <v>1.2988042E-4</v>
      </c>
      <c r="C73" s="8">
        <v>9.6900939999999998E-4</v>
      </c>
      <c r="D73" s="8">
        <f t="shared" si="3"/>
        <v>1.2988042E-5</v>
      </c>
      <c r="E73" s="9">
        <f t="shared" si="4"/>
        <v>7.4607812324598273</v>
      </c>
      <c r="F73" s="10">
        <f t="shared" si="5"/>
        <v>12.988042</v>
      </c>
    </row>
    <row r="74" spans="1:6" x14ac:dyDescent="0.3">
      <c r="A74" s="7">
        <v>0.66</v>
      </c>
      <c r="B74" s="8">
        <v>1.3973227E-4</v>
      </c>
      <c r="C74" s="8">
        <v>1.0013623000000001E-3</v>
      </c>
      <c r="D74" s="8">
        <f t="shared" si="3"/>
        <v>1.3973227000000001E-5</v>
      </c>
      <c r="E74" s="9">
        <f t="shared" si="4"/>
        <v>7.1662923675397252</v>
      </c>
      <c r="F74" s="10">
        <f t="shared" si="5"/>
        <v>13.973227000000001</v>
      </c>
    </row>
    <row r="75" spans="1:6" x14ac:dyDescent="0.3">
      <c r="A75" s="7">
        <v>0.67</v>
      </c>
      <c r="B75" s="8">
        <v>1.4990460000000001E-4</v>
      </c>
      <c r="C75" s="8">
        <v>1.033104E-3</v>
      </c>
      <c r="D75" s="8">
        <f t="shared" si="3"/>
        <v>1.499046E-5</v>
      </c>
      <c r="E75" s="9">
        <f t="shared" si="4"/>
        <v>6.8917431486425365</v>
      </c>
      <c r="F75" s="10">
        <f t="shared" si="5"/>
        <v>14.990460000000001</v>
      </c>
    </row>
    <row r="76" spans="1:6" x14ac:dyDescent="0.3">
      <c r="A76" s="7">
        <v>0.68</v>
      </c>
      <c r="B76" s="8">
        <v>1.6039153000000001E-4</v>
      </c>
      <c r="C76" s="8">
        <v>1.0642823E-3</v>
      </c>
      <c r="D76" s="8">
        <f t="shared" si="3"/>
        <v>1.6039153000000002E-5</v>
      </c>
      <c r="E76" s="9">
        <f t="shared" si="4"/>
        <v>6.6355268261360179</v>
      </c>
      <c r="F76" s="10">
        <f t="shared" si="5"/>
        <v>16.039153000000002</v>
      </c>
    </row>
    <row r="77" spans="1:6" x14ac:dyDescent="0.3">
      <c r="A77" s="7">
        <v>0.69</v>
      </c>
      <c r="B77" s="8">
        <v>1.7118765E-4</v>
      </c>
      <c r="C77" s="8">
        <v>1.0949410000000001E-3</v>
      </c>
      <c r="D77" s="8">
        <f t="shared" si="3"/>
        <v>1.7118765E-5</v>
      </c>
      <c r="E77" s="9">
        <f t="shared" si="4"/>
        <v>6.3961448153532112</v>
      </c>
      <c r="F77" s="10">
        <f t="shared" si="5"/>
        <v>17.118765</v>
      </c>
    </row>
    <row r="78" spans="1:6" x14ac:dyDescent="0.3">
      <c r="A78" s="7">
        <v>0.7</v>
      </c>
      <c r="B78" s="8">
        <v>1.8228795E-4</v>
      </c>
      <c r="C78" s="8">
        <v>1.1251195999999999E-3</v>
      </c>
      <c r="D78" s="8">
        <f t="shared" si="3"/>
        <v>1.8228795E-5</v>
      </c>
      <c r="E78" s="9">
        <f t="shared" si="4"/>
        <v>6.1722105054119041</v>
      </c>
      <c r="F78" s="10">
        <f t="shared" si="5"/>
        <v>18.228795000000002</v>
      </c>
    </row>
    <row r="79" spans="1:6" x14ac:dyDescent="0.3">
      <c r="A79" s="7">
        <v>0.71</v>
      </c>
      <c r="B79" s="8">
        <v>1.9368780999999999E-4</v>
      </c>
      <c r="C79" s="8">
        <v>1.1548531E-3</v>
      </c>
      <c r="D79" s="8">
        <f t="shared" si="3"/>
        <v>1.9368780999999998E-5</v>
      </c>
      <c r="E79" s="9">
        <f t="shared" si="4"/>
        <v>5.9624459587828476</v>
      </c>
      <c r="F79" s="10">
        <f t="shared" si="5"/>
        <v>19.368780999999998</v>
      </c>
    </row>
    <row r="80" spans="1:6" x14ac:dyDescent="0.3">
      <c r="A80" s="7">
        <v>0.72</v>
      </c>
      <c r="B80" s="8">
        <v>2.0538292999999999E-4</v>
      </c>
      <c r="C80" s="8">
        <v>1.1841715999999999E-3</v>
      </c>
      <c r="D80" s="8">
        <f t="shared" si="3"/>
        <v>2.0538293E-5</v>
      </c>
      <c r="E80" s="9">
        <f t="shared" si="4"/>
        <v>5.7656768262094618</v>
      </c>
      <c r="F80" s="10">
        <f t="shared" si="5"/>
        <v>20.538292999999999</v>
      </c>
    </row>
    <row r="81" spans="1:6" x14ac:dyDescent="0.3">
      <c r="A81" s="7">
        <v>0.73</v>
      </c>
      <c r="B81" s="8">
        <v>2.1736929000000001E-4</v>
      </c>
      <c r="C81" s="8">
        <v>1.2131011999999999E-3</v>
      </c>
      <c r="D81" s="8">
        <f t="shared" si="3"/>
        <v>2.1736929000000001E-5</v>
      </c>
      <c r="E81" s="9">
        <f t="shared" si="4"/>
        <v>5.5808306683984652</v>
      </c>
      <c r="F81" s="10">
        <f t="shared" si="5"/>
        <v>21.736929</v>
      </c>
    </row>
    <row r="82" spans="1:6" x14ac:dyDescent="0.3">
      <c r="A82" s="7">
        <v>0.74</v>
      </c>
      <c r="B82" s="8">
        <v>2.2964310999999999E-4</v>
      </c>
      <c r="C82" s="8">
        <v>1.2416637999999999E-3</v>
      </c>
      <c r="D82" s="8">
        <f t="shared" si="3"/>
        <v>2.2964311E-5</v>
      </c>
      <c r="E82" s="9">
        <f t="shared" si="4"/>
        <v>5.4069281677991556</v>
      </c>
      <c r="F82" s="10">
        <f t="shared" si="5"/>
        <v>22.964310999999999</v>
      </c>
    </row>
    <row r="83" spans="1:6" x14ac:dyDescent="0.3">
      <c r="A83" s="7">
        <v>0.75</v>
      </c>
      <c r="B83" s="8">
        <v>2.4220082000000001E-4</v>
      </c>
      <c r="C83" s="8">
        <v>1.2698773999999999E-3</v>
      </c>
      <c r="D83" s="8">
        <f t="shared" si="3"/>
        <v>2.4220081999999999E-5</v>
      </c>
      <c r="E83" s="9">
        <f t="shared" si="4"/>
        <v>5.2430763859511291</v>
      </c>
      <c r="F83" s="10">
        <f t="shared" si="5"/>
        <v>24.220081999999998</v>
      </c>
    </row>
    <row r="84" spans="1:6" x14ac:dyDescent="0.3">
      <c r="A84" s="7">
        <v>0.76</v>
      </c>
      <c r="B84" s="8">
        <v>2.5503899000000002E-4</v>
      </c>
      <c r="C84" s="8">
        <v>1.2977568E-3</v>
      </c>
      <c r="D84" s="8">
        <f t="shared" si="3"/>
        <v>2.5503899000000002E-5</v>
      </c>
      <c r="E84" s="9">
        <f t="shared" si="4"/>
        <v>5.0884643167697607</v>
      </c>
      <c r="F84" s="10">
        <f t="shared" si="5"/>
        <v>25.503899000000001</v>
      </c>
    </row>
    <row r="85" spans="1:6" x14ac:dyDescent="0.3">
      <c r="A85" s="7">
        <v>0.77</v>
      </c>
      <c r="B85" s="8">
        <v>2.6815433999999999E-4</v>
      </c>
      <c r="C85" s="8">
        <v>1.3253136E-3</v>
      </c>
      <c r="D85" s="8">
        <f t="shared" si="3"/>
        <v>2.6815434E-5</v>
      </c>
      <c r="E85" s="9">
        <f t="shared" si="4"/>
        <v>4.9423537206222363</v>
      </c>
      <c r="F85" s="10">
        <f t="shared" si="5"/>
        <v>26.815434</v>
      </c>
    </row>
    <row r="86" spans="1:6" x14ac:dyDescent="0.3">
      <c r="A86" s="7">
        <v>0.78</v>
      </c>
      <c r="B86" s="8">
        <v>2.8154368999999999E-4</v>
      </c>
      <c r="C86" s="8">
        <v>1.3525569000000001E-3</v>
      </c>
      <c r="D86" s="8">
        <f t="shared" si="3"/>
        <v>2.8154368999999998E-5</v>
      </c>
      <c r="E86" s="9">
        <f t="shared" si="4"/>
        <v>4.8040746358051925</v>
      </c>
      <c r="F86" s="10">
        <f t="shared" si="5"/>
        <v>28.154368999999999</v>
      </c>
    </row>
    <row r="87" spans="1:6" x14ac:dyDescent="0.3">
      <c r="A87" s="7">
        <v>0.79</v>
      </c>
      <c r="B87" s="8">
        <v>2.9520394E-4</v>
      </c>
      <c r="C87" s="8">
        <v>1.3794936000000001E-3</v>
      </c>
      <c r="D87" s="8">
        <f t="shared" si="3"/>
        <v>2.9520394E-5</v>
      </c>
      <c r="E87" s="9">
        <f t="shared" si="4"/>
        <v>4.6730189305738943</v>
      </c>
      <c r="F87" s="10">
        <f t="shared" si="5"/>
        <v>29.520394</v>
      </c>
    </row>
    <row r="88" spans="1:6" x14ac:dyDescent="0.3">
      <c r="A88" s="7">
        <v>0.8</v>
      </c>
      <c r="B88" s="8">
        <v>3.0913205000000001E-4</v>
      </c>
      <c r="C88" s="8">
        <v>1.4061284999999999E-3</v>
      </c>
      <c r="D88" s="8">
        <f t="shared" si="3"/>
        <v>3.0913205000000001E-5</v>
      </c>
      <c r="E88" s="9">
        <f t="shared" si="4"/>
        <v>4.548633828165018</v>
      </c>
      <c r="F88" s="10">
        <f t="shared" si="5"/>
        <v>30.913205000000001</v>
      </c>
    </row>
    <row r="89" spans="1:6" x14ac:dyDescent="0.3">
      <c r="A89" s="7">
        <v>0.81</v>
      </c>
      <c r="B89" s="8">
        <v>3.2332501999999999E-4</v>
      </c>
      <c r="C89" s="8">
        <v>1.4324648999999999E-3</v>
      </c>
      <c r="D89" s="8">
        <f t="shared" si="3"/>
        <v>3.2332502000000001E-5</v>
      </c>
      <c r="E89" s="9">
        <f t="shared" si="4"/>
        <v>4.4304177264104085</v>
      </c>
      <c r="F89" s="10">
        <f t="shared" si="5"/>
        <v>32.332501999999998</v>
      </c>
    </row>
    <row r="90" spans="1:6" x14ac:dyDescent="0.3">
      <c r="A90" s="7">
        <v>0.82</v>
      </c>
      <c r="B90" s="8">
        <v>3.3777986E-4</v>
      </c>
      <c r="C90" s="8">
        <v>1.4585047E-3</v>
      </c>
      <c r="D90" s="8">
        <f t="shared" si="3"/>
        <v>3.3777986000000003E-5</v>
      </c>
      <c r="E90" s="9">
        <f t="shared" si="4"/>
        <v>4.3179149283796852</v>
      </c>
      <c r="F90" s="10">
        <f t="shared" si="5"/>
        <v>33.777986000000006</v>
      </c>
    </row>
    <row r="91" spans="1:6" x14ac:dyDescent="0.3">
      <c r="A91" s="7">
        <v>0.83</v>
      </c>
      <c r="B91" s="8">
        <v>3.5249362999999998E-4</v>
      </c>
      <c r="C91" s="8">
        <v>1.4842487999999999E-3</v>
      </c>
      <c r="D91" s="8">
        <f t="shared" si="3"/>
        <v>3.5249363E-5</v>
      </c>
      <c r="E91" s="9">
        <f t="shared" si="4"/>
        <v>4.2107109850467372</v>
      </c>
      <c r="F91" s="10">
        <f t="shared" si="5"/>
        <v>35.249363000000002</v>
      </c>
    </row>
    <row r="92" spans="1:6" x14ac:dyDescent="0.3">
      <c r="A92" s="7">
        <v>0.84</v>
      </c>
      <c r="B92" s="8">
        <v>3.6746336000000003E-4</v>
      </c>
      <c r="C92" s="8">
        <v>1.5096969999999999E-3</v>
      </c>
      <c r="D92" s="8">
        <f t="shared" si="3"/>
        <v>3.6746336000000003E-5</v>
      </c>
      <c r="E92" s="9">
        <f t="shared" si="4"/>
        <v>4.1084286607513736</v>
      </c>
      <c r="F92" s="10">
        <f t="shared" si="5"/>
        <v>36.746335999999999</v>
      </c>
    </row>
    <row r="93" spans="1:6" x14ac:dyDescent="0.3">
      <c r="A93" s="7">
        <v>0.85</v>
      </c>
      <c r="B93" s="8">
        <v>3.8268608999999999E-4</v>
      </c>
      <c r="C93" s="8">
        <v>1.5348486999999999E-3</v>
      </c>
      <c r="D93" s="8">
        <f t="shared" si="3"/>
        <v>3.8268608999999999E-5</v>
      </c>
      <c r="E93" s="9">
        <f t="shared" si="4"/>
        <v>4.0107250827956671</v>
      </c>
      <c r="F93" s="10">
        <f t="shared" si="5"/>
        <v>38.268608999999998</v>
      </c>
    </row>
    <row r="94" spans="1:6" x14ac:dyDescent="0.3">
      <c r="A94" s="7">
        <v>0.86</v>
      </c>
      <c r="B94" s="8">
        <v>3.9815884000000002E-4</v>
      </c>
      <c r="C94" s="8">
        <v>1.5597026E-3</v>
      </c>
      <c r="D94" s="8">
        <f t="shared" si="3"/>
        <v>3.9815884000000002E-5</v>
      </c>
      <c r="E94" s="9">
        <f t="shared" si="4"/>
        <v>3.9172873820910268</v>
      </c>
      <c r="F94" s="10">
        <f t="shared" si="5"/>
        <v>39.815884000000004</v>
      </c>
    </row>
    <row r="95" spans="1:6" x14ac:dyDescent="0.3">
      <c r="A95" s="7">
        <v>0.87</v>
      </c>
      <c r="B95" s="8">
        <v>4.1387864E-4</v>
      </c>
      <c r="C95" s="8">
        <v>1.5842569999999999E-3</v>
      </c>
      <c r="D95" s="8">
        <f t="shared" si="3"/>
        <v>4.1387863999999999E-5</v>
      </c>
      <c r="E95" s="9">
        <f t="shared" si="4"/>
        <v>3.8278298198718348</v>
      </c>
      <c r="F95" s="10">
        <f t="shared" si="5"/>
        <v>41.387864</v>
      </c>
    </row>
    <row r="96" spans="1:6" x14ac:dyDescent="0.3">
      <c r="A96" s="7">
        <v>0.88</v>
      </c>
      <c r="B96" s="8">
        <v>4.2984247999999997E-4</v>
      </c>
      <c r="C96" s="8">
        <v>1.6085100000000001E-3</v>
      </c>
      <c r="D96" s="8">
        <f t="shared" si="3"/>
        <v>4.2984247999999999E-5</v>
      </c>
      <c r="E96" s="9">
        <f t="shared" si="4"/>
        <v>3.7420917541700396</v>
      </c>
      <c r="F96" s="10">
        <f t="shared" si="5"/>
        <v>42.984248000000001</v>
      </c>
    </row>
    <row r="97" spans="1:6" x14ac:dyDescent="0.3">
      <c r="A97" s="7">
        <v>0.89</v>
      </c>
      <c r="B97" s="8">
        <v>4.4604732E-4</v>
      </c>
      <c r="C97" s="8">
        <v>1.6324594999999999E-3</v>
      </c>
      <c r="D97" s="8">
        <f t="shared" si="3"/>
        <v>4.4604731999999998E-5</v>
      </c>
      <c r="E97" s="9">
        <f t="shared" si="4"/>
        <v>3.6598347906226629</v>
      </c>
      <c r="F97" s="10">
        <f t="shared" si="5"/>
        <v>44.604731999999998</v>
      </c>
    </row>
    <row r="98" spans="1:6" x14ac:dyDescent="0.3">
      <c r="A98" s="7">
        <v>0.9</v>
      </c>
      <c r="B98" s="8">
        <v>4.6249014000000001E-4</v>
      </c>
      <c r="C98" s="8">
        <v>1.6561035000000001E-3</v>
      </c>
      <c r="D98" s="8">
        <f t="shared" si="3"/>
        <v>4.6249014000000002E-5</v>
      </c>
      <c r="E98" s="9">
        <f t="shared" si="4"/>
        <v>3.5808406639761015</v>
      </c>
      <c r="F98" s="10">
        <f t="shared" si="5"/>
        <v>46.249014000000003</v>
      </c>
    </row>
    <row r="99" spans="1:6" x14ac:dyDescent="0.3">
      <c r="A99" s="7">
        <v>0.91</v>
      </c>
      <c r="B99" s="8">
        <v>4.7916784999999998E-4</v>
      </c>
      <c r="C99" s="8">
        <v>1.6794397E-3</v>
      </c>
      <c r="D99" s="8">
        <f t="shared" si="3"/>
        <v>4.7916785000000001E-5</v>
      </c>
      <c r="E99" s="9">
        <f t="shared" si="4"/>
        <v>3.504908979181304</v>
      </c>
      <c r="F99" s="10">
        <f t="shared" si="5"/>
        <v>47.916784999999997</v>
      </c>
    </row>
    <row r="100" spans="1:6" x14ac:dyDescent="0.3">
      <c r="A100" s="7">
        <v>0.92</v>
      </c>
      <c r="B100" s="8">
        <v>4.9607738000000004E-4</v>
      </c>
      <c r="C100" s="8">
        <v>1.7024659999999999E-3</v>
      </c>
      <c r="D100" s="8">
        <f t="shared" si="3"/>
        <v>4.9607738000000007E-5</v>
      </c>
      <c r="E100" s="9">
        <f t="shared" si="4"/>
        <v>3.4318557318618312</v>
      </c>
      <c r="F100" s="10">
        <f t="shared" si="5"/>
        <v>49.607738000000005</v>
      </c>
    </row>
    <row r="101" spans="1:6" x14ac:dyDescent="0.3">
      <c r="A101" s="7">
        <v>0.93</v>
      </c>
      <c r="B101" s="8">
        <v>5.1321560999999997E-4</v>
      </c>
      <c r="C101" s="8">
        <v>1.7251803999999999E-3</v>
      </c>
      <c r="D101" s="8">
        <f t="shared" si="3"/>
        <v>5.1321561E-5</v>
      </c>
      <c r="E101" s="9">
        <f t="shared" si="4"/>
        <v>3.3615119384229173</v>
      </c>
      <c r="F101" s="10">
        <f t="shared" si="5"/>
        <v>51.321561000000003</v>
      </c>
    </row>
    <row r="102" spans="1:6" x14ac:dyDescent="0.3">
      <c r="A102" s="7">
        <v>0.94</v>
      </c>
      <c r="B102" s="8">
        <v>5.3057942000000005E-4</v>
      </c>
      <c r="C102" s="8">
        <v>1.7475811E-3</v>
      </c>
      <c r="D102" s="8">
        <f t="shared" si="3"/>
        <v>5.3057942000000007E-5</v>
      </c>
      <c r="E102" s="9">
        <f t="shared" si="4"/>
        <v>3.2937219841659142</v>
      </c>
      <c r="F102" s="10">
        <f t="shared" si="5"/>
        <v>53.057942000000004</v>
      </c>
    </row>
    <row r="103" spans="1:6" x14ac:dyDescent="0.3">
      <c r="A103" s="7">
        <v>0.95</v>
      </c>
      <c r="B103" s="8">
        <v>5.4816566000000005E-4</v>
      </c>
      <c r="C103" s="8">
        <v>1.7696662000000001E-3</v>
      </c>
      <c r="D103" s="8">
        <f t="shared" si="3"/>
        <v>5.4816566000000007E-5</v>
      </c>
      <c r="E103" s="9">
        <f t="shared" si="4"/>
        <v>3.2283419577942913</v>
      </c>
      <c r="F103" s="10">
        <f t="shared" si="5"/>
        <v>54.816566000000009</v>
      </c>
    </row>
    <row r="104" spans="1:6" x14ac:dyDescent="0.3">
      <c r="A104" s="7">
        <v>0.96</v>
      </c>
      <c r="B104" s="8">
        <v>5.6597115999999998E-4</v>
      </c>
      <c r="C104" s="8">
        <v>1.7914344000000001E-3</v>
      </c>
      <c r="D104" s="8">
        <f t="shared" si="3"/>
        <v>5.6597115999999998E-5</v>
      </c>
      <c r="E104" s="9">
        <f t="shared" si="4"/>
        <v>3.1652397270560573</v>
      </c>
      <c r="F104" s="10">
        <f t="shared" si="5"/>
        <v>56.597116</v>
      </c>
    </row>
    <row r="105" spans="1:6" x14ac:dyDescent="0.3">
      <c r="A105" s="7">
        <v>0.97</v>
      </c>
      <c r="B105" s="8">
        <v>5.8399275999999997E-4</v>
      </c>
      <c r="C105" s="8">
        <v>1.8128841999999999E-3</v>
      </c>
      <c r="D105" s="8">
        <f t="shared" si="3"/>
        <v>5.8399275999999996E-5</v>
      </c>
      <c r="E105" s="9">
        <f t="shared" si="4"/>
        <v>3.1042922518423004</v>
      </c>
      <c r="F105" s="10">
        <f t="shared" si="5"/>
        <v>58.399275999999993</v>
      </c>
    </row>
    <row r="106" spans="1:6" x14ac:dyDescent="0.3">
      <c r="A106" s="7">
        <v>0.98</v>
      </c>
      <c r="B106" s="8">
        <v>6.0222724999999997E-4</v>
      </c>
      <c r="C106" s="8">
        <v>1.8340144E-3</v>
      </c>
      <c r="D106" s="8">
        <f t="shared" si="3"/>
        <v>6.0222724999999997E-5</v>
      </c>
      <c r="E106" s="9">
        <f t="shared" si="4"/>
        <v>3.0453859402742074</v>
      </c>
      <c r="F106" s="10">
        <f t="shared" si="5"/>
        <v>60.222724999999997</v>
      </c>
    </row>
    <row r="107" spans="1:6" x14ac:dyDescent="0.3">
      <c r="A107" s="7">
        <v>0.99</v>
      </c>
      <c r="B107" s="8">
        <v>6.2067144000000002E-4</v>
      </c>
      <c r="C107" s="8">
        <v>1.8548243E-3</v>
      </c>
      <c r="D107" s="8">
        <f t="shared" si="3"/>
        <v>6.2067144000000008E-5</v>
      </c>
      <c r="E107" s="9">
        <f t="shared" si="4"/>
        <v>2.9884157389294406</v>
      </c>
      <c r="F107" s="10">
        <f t="shared" si="5"/>
        <v>62.067144000000006</v>
      </c>
    </row>
    <row r="108" spans="1:6" x14ac:dyDescent="0.3">
      <c r="A108" s="7">
        <v>1</v>
      </c>
      <c r="B108" s="8">
        <v>6.3932213000000002E-4</v>
      </c>
      <c r="C108" s="8">
        <v>1.8753128999999999E-3</v>
      </c>
      <c r="D108" s="8">
        <f t="shared" si="3"/>
        <v>6.3932213E-5</v>
      </c>
      <c r="E108" s="9">
        <f t="shared" si="4"/>
        <v>2.9332832573776226</v>
      </c>
      <c r="F108" s="10">
        <f t="shared" si="5"/>
        <v>63.932212999999997</v>
      </c>
    </row>
    <row r="109" spans="1:6" x14ac:dyDescent="0.3">
      <c r="A109" s="7">
        <v>1.01</v>
      </c>
      <c r="B109" s="8">
        <v>6.5817608999999997E-4</v>
      </c>
      <c r="C109" s="8">
        <v>1.8954798999999999E-3</v>
      </c>
      <c r="D109" s="8">
        <f t="shared" si="3"/>
        <v>6.5817609000000003E-5</v>
      </c>
      <c r="E109" s="9">
        <f t="shared" si="4"/>
        <v>2.8798978401053734</v>
      </c>
      <c r="F109" s="10">
        <f t="shared" si="5"/>
        <v>65.817609000000004</v>
      </c>
    </row>
    <row r="110" spans="1:6" x14ac:dyDescent="0.3">
      <c r="A110" s="7">
        <v>1.02</v>
      </c>
      <c r="B110" s="8">
        <v>6.7723011999999997E-4</v>
      </c>
      <c r="C110" s="8">
        <v>1.9153249E-3</v>
      </c>
      <c r="D110" s="8">
        <f t="shared" si="3"/>
        <v>6.7723011999999995E-5</v>
      </c>
      <c r="E110" s="9">
        <f t="shared" si="4"/>
        <v>2.8281744172866974</v>
      </c>
      <c r="F110" s="10">
        <f t="shared" si="5"/>
        <v>67.723011999999997</v>
      </c>
    </row>
    <row r="111" spans="1:6" x14ac:dyDescent="0.3">
      <c r="A111" s="7">
        <v>1.03</v>
      </c>
      <c r="B111" s="8">
        <v>6.9648097999999996E-4</v>
      </c>
      <c r="C111" s="8">
        <v>1.9348478E-3</v>
      </c>
      <c r="D111" s="8">
        <f t="shared" si="3"/>
        <v>6.9648097999999996E-5</v>
      </c>
      <c r="E111" s="9">
        <f t="shared" si="4"/>
        <v>2.7780339385578054</v>
      </c>
      <c r="F111" s="10">
        <f t="shared" si="5"/>
        <v>69.64809799999999</v>
      </c>
    </row>
    <row r="112" spans="1:6" x14ac:dyDescent="0.3">
      <c r="A112" s="7">
        <v>1.04</v>
      </c>
      <c r="B112" s="8">
        <v>7.1592545999999996E-4</v>
      </c>
      <c r="C112" s="8">
        <v>1.9540488000000002E-3</v>
      </c>
      <c r="D112" s="8">
        <f t="shared" si="3"/>
        <v>7.1592546000000002E-5</v>
      </c>
      <c r="E112" s="9">
        <f t="shared" si="4"/>
        <v>2.7294025833359807</v>
      </c>
      <c r="F112" s="10">
        <f t="shared" si="5"/>
        <v>71.592545999999999</v>
      </c>
    </row>
    <row r="113" spans="1:6" x14ac:dyDescent="0.3">
      <c r="A113" s="7">
        <v>1.05</v>
      </c>
      <c r="B113" s="8">
        <v>7.3556035000000002E-4</v>
      </c>
      <c r="C113" s="8">
        <v>1.9729282000000002E-3</v>
      </c>
      <c r="D113" s="8">
        <f t="shared" si="3"/>
        <v>7.3556035000000008E-5</v>
      </c>
      <c r="E113" s="9">
        <f t="shared" si="4"/>
        <v>2.6822111877020016</v>
      </c>
      <c r="F113" s="10">
        <f t="shared" si="5"/>
        <v>73.556035000000008</v>
      </c>
    </row>
    <row r="114" spans="1:6" x14ac:dyDescent="0.3">
      <c r="A114" s="7">
        <v>1.06</v>
      </c>
      <c r="B114" s="8">
        <v>7.5538242000000003E-4</v>
      </c>
      <c r="C114" s="8">
        <v>1.9914863999999999E-3</v>
      </c>
      <c r="D114" s="8">
        <f t="shared" si="3"/>
        <v>7.5538242000000003E-5</v>
      </c>
      <c r="E114" s="9">
        <f t="shared" si="4"/>
        <v>2.6363949534329909</v>
      </c>
      <c r="F114" s="10">
        <f t="shared" si="5"/>
        <v>75.538241999999997</v>
      </c>
    </row>
    <row r="115" spans="1:6" x14ac:dyDescent="0.3">
      <c r="A115" s="7">
        <v>1.07</v>
      </c>
      <c r="B115" s="8">
        <v>7.7538846999999998E-4</v>
      </c>
      <c r="C115" s="8">
        <v>2.0097243000000002E-3</v>
      </c>
      <c r="D115" s="8">
        <f t="shared" si="3"/>
        <v>7.7538846999999992E-5</v>
      </c>
      <c r="E115" s="9">
        <f t="shared" si="4"/>
        <v>2.5918934543868057</v>
      </c>
      <c r="F115" s="10">
        <f t="shared" si="5"/>
        <v>77.53884699999999</v>
      </c>
    </row>
    <row r="116" spans="1:6" x14ac:dyDescent="0.3">
      <c r="A116" s="7">
        <v>1.08</v>
      </c>
      <c r="B116" s="8">
        <v>7.9557531000000003E-4</v>
      </c>
      <c r="C116" s="8">
        <v>2.0276424999999998E-3</v>
      </c>
      <c r="D116" s="8">
        <f t="shared" si="3"/>
        <v>7.9557531000000003E-5</v>
      </c>
      <c r="E116" s="9">
        <f t="shared" si="4"/>
        <v>2.5486493541384534</v>
      </c>
      <c r="F116" s="10">
        <f t="shared" si="5"/>
        <v>79.557530999999997</v>
      </c>
    </row>
    <row r="117" spans="1:6" x14ac:dyDescent="0.3">
      <c r="A117" s="7">
        <v>1.0900000000000001</v>
      </c>
      <c r="B117" s="8">
        <v>8.1593973000000002E-4</v>
      </c>
      <c r="C117" s="8">
        <v>2.0452422000000001E-3</v>
      </c>
      <c r="D117" s="8">
        <f t="shared" si="3"/>
        <v>8.1593973000000005E-5</v>
      </c>
      <c r="E117" s="9">
        <f t="shared" si="4"/>
        <v>2.5066094036136715</v>
      </c>
      <c r="F117" s="10">
        <f t="shared" si="5"/>
        <v>81.593973000000005</v>
      </c>
    </row>
    <row r="118" spans="1:6" x14ac:dyDescent="0.3">
      <c r="A118" s="7">
        <v>1.1000000000000001</v>
      </c>
      <c r="B118" s="8">
        <v>8.3647856999999998E-4</v>
      </c>
      <c r="C118" s="8">
        <v>2.0625245999999998E-3</v>
      </c>
      <c r="D118" s="8">
        <f t="shared" si="3"/>
        <v>8.3647856999999998E-5</v>
      </c>
      <c r="E118" s="9">
        <f t="shared" si="4"/>
        <v>2.4657231804515924</v>
      </c>
      <c r="F118" s="10">
        <f t="shared" si="5"/>
        <v>83.647857000000002</v>
      </c>
    </row>
    <row r="119" spans="1:6" x14ac:dyDescent="0.3">
      <c r="A119" s="7">
        <v>1.1100000000000001</v>
      </c>
      <c r="B119" s="8">
        <v>8.5718863999999998E-4</v>
      </c>
      <c r="C119" s="8">
        <v>2.0794909000000001E-3</v>
      </c>
      <c r="D119" s="8">
        <f t="shared" si="3"/>
        <v>8.5718863999999998E-5</v>
      </c>
      <c r="E119" s="9">
        <f t="shared" si="4"/>
        <v>2.425943138957138</v>
      </c>
      <c r="F119" s="10">
        <f t="shared" si="5"/>
        <v>85.718863999999996</v>
      </c>
    </row>
    <row r="120" spans="1:6" x14ac:dyDescent="0.3">
      <c r="A120" s="7">
        <v>1.1200000000000001</v>
      </c>
      <c r="B120" s="8">
        <v>8.7806680999999995E-4</v>
      </c>
      <c r="C120" s="8">
        <v>2.0961425999999998E-3</v>
      </c>
      <c r="D120" s="8">
        <f t="shared" si="3"/>
        <v>8.7806680999999995E-5</v>
      </c>
      <c r="E120" s="9">
        <f t="shared" si="4"/>
        <v>2.3872244983271829</v>
      </c>
      <c r="F120" s="10">
        <f t="shared" si="5"/>
        <v>87.806680999999998</v>
      </c>
    </row>
    <row r="121" spans="1:6" x14ac:dyDescent="0.3">
      <c r="A121" s="7">
        <v>1.1299999999999999</v>
      </c>
      <c r="B121" s="8">
        <v>8.9910993000000001E-4</v>
      </c>
      <c r="C121" s="8">
        <v>2.1124814E-3</v>
      </c>
      <c r="D121" s="8">
        <f t="shared" si="3"/>
        <v>8.9910993000000001E-5</v>
      </c>
      <c r="E121" s="9">
        <f t="shared" si="4"/>
        <v>2.3495251576189355</v>
      </c>
      <c r="F121" s="10">
        <f t="shared" si="5"/>
        <v>89.910993000000005</v>
      </c>
    </row>
    <row r="122" spans="1:6" x14ac:dyDescent="0.3">
      <c r="A122" s="7">
        <v>1.1399999999999999</v>
      </c>
      <c r="B122" s="8">
        <v>9.2031488000000005E-4</v>
      </c>
      <c r="C122" s="8">
        <v>2.1285089999999998E-3</v>
      </c>
      <c r="D122" s="8">
        <f t="shared" si="3"/>
        <v>9.2031488000000002E-5</v>
      </c>
      <c r="E122" s="9">
        <f t="shared" si="4"/>
        <v>2.3128051564264611</v>
      </c>
      <c r="F122" s="10">
        <f t="shared" si="5"/>
        <v>92.031487999999996</v>
      </c>
    </row>
    <row r="123" spans="1:6" x14ac:dyDescent="0.3">
      <c r="A123" s="7">
        <v>1.1499999999999999</v>
      </c>
      <c r="B123" s="8">
        <v>9.4167855999999998E-4</v>
      </c>
      <c r="C123" s="8">
        <v>2.1442271999999999E-3</v>
      </c>
      <c r="D123" s="8">
        <f t="shared" si="3"/>
        <v>9.4167856000000003E-5</v>
      </c>
      <c r="E123" s="9">
        <f t="shared" si="4"/>
        <v>2.2770266745799117</v>
      </c>
      <c r="F123" s="10">
        <f t="shared" si="5"/>
        <v>94.167856</v>
      </c>
    </row>
    <row r="124" spans="1:6" x14ac:dyDescent="0.3">
      <c r="A124" s="7">
        <v>1.1599999999999999</v>
      </c>
      <c r="B124" s="8">
        <v>9.6319788999999997E-4</v>
      </c>
      <c r="C124" s="8">
        <v>2.1596380000000002E-3</v>
      </c>
      <c r="D124" s="8">
        <f t="shared" si="3"/>
        <v>9.6319789000000002E-5</v>
      </c>
      <c r="E124" s="9">
        <f t="shared" si="4"/>
        <v>2.2421539980740617</v>
      </c>
      <c r="F124" s="10">
        <f t="shared" si="5"/>
        <v>96.319789</v>
      </c>
    </row>
    <row r="125" spans="1:6" x14ac:dyDescent="0.3">
      <c r="A125" s="7">
        <v>1.17</v>
      </c>
      <c r="B125" s="8">
        <v>9.8486980000000003E-4</v>
      </c>
      <c r="C125" s="8">
        <v>2.1747435E-3</v>
      </c>
      <c r="D125" s="8">
        <f t="shared" si="3"/>
        <v>9.8486980000000006E-5</v>
      </c>
      <c r="E125" s="9">
        <f t="shared" si="4"/>
        <v>2.2081533010759391</v>
      </c>
      <c r="F125" s="10">
        <f t="shared" si="5"/>
        <v>98.486980000000003</v>
      </c>
    </row>
    <row r="126" spans="1:6" x14ac:dyDescent="0.3">
      <c r="A126" s="7">
        <v>1.18</v>
      </c>
      <c r="B126" s="8">
        <v>1.0066911999999999E-3</v>
      </c>
      <c r="C126" s="8">
        <v>2.1895458E-3</v>
      </c>
      <c r="D126" s="8">
        <f t="shared" si="3"/>
        <v>1.0066911999999999E-4</v>
      </c>
      <c r="E126" s="9">
        <f t="shared" si="4"/>
        <v>2.1749924902492443</v>
      </c>
      <c r="F126" s="10">
        <f t="shared" si="5"/>
        <v>100.66911999999999</v>
      </c>
    </row>
    <row r="127" spans="1:6" x14ac:dyDescent="0.3">
      <c r="A127" s="7">
        <v>1.19</v>
      </c>
      <c r="B127" s="8">
        <v>1.0286592E-3</v>
      </c>
      <c r="C127" s="8">
        <v>2.2040471999999998E-3</v>
      </c>
      <c r="D127" s="8">
        <f t="shared" si="3"/>
        <v>1.0286592E-4</v>
      </c>
      <c r="E127" s="9">
        <f t="shared" si="4"/>
        <v>2.1426408279826785</v>
      </c>
      <c r="F127" s="10">
        <f t="shared" si="5"/>
        <v>102.86591999999999</v>
      </c>
    </row>
    <row r="128" spans="1:6" x14ac:dyDescent="0.3">
      <c r="A128" s="7">
        <v>1.2</v>
      </c>
      <c r="B128" s="8">
        <v>1.0507706999999999E-3</v>
      </c>
      <c r="C128" s="8">
        <v>2.2182500000000002E-3</v>
      </c>
      <c r="D128" s="8">
        <f t="shared" si="3"/>
        <v>1.0507706999999999E-4</v>
      </c>
      <c r="E128" s="9">
        <f t="shared" si="4"/>
        <v>2.1110695225894673</v>
      </c>
      <c r="F128" s="10">
        <f t="shared" si="5"/>
        <v>105.07706999999999</v>
      </c>
    </row>
    <row r="129" spans="1:6" x14ac:dyDescent="0.3">
      <c r="A129" s="7">
        <v>1.21</v>
      </c>
      <c r="B129" s="8">
        <v>1.0730227000000001E-3</v>
      </c>
      <c r="C129" s="8">
        <v>2.2321566000000001E-3</v>
      </c>
      <c r="D129" s="8">
        <f t="shared" si="3"/>
        <v>1.0730227000000002E-4</v>
      </c>
      <c r="E129" s="9">
        <f t="shared" si="4"/>
        <v>2.0802510515387977</v>
      </c>
      <c r="F129" s="10">
        <f t="shared" si="5"/>
        <v>107.30227000000002</v>
      </c>
    </row>
    <row r="130" spans="1:6" x14ac:dyDescent="0.3">
      <c r="A130" s="7">
        <v>1.22</v>
      </c>
      <c r="B130" s="8">
        <v>1.0954124E-3</v>
      </c>
      <c r="C130" s="8">
        <v>2.2457695000000001E-3</v>
      </c>
      <c r="D130" s="8">
        <f t="shared" si="3"/>
        <v>1.0954123999999999E-4</v>
      </c>
      <c r="E130" s="9">
        <f t="shared" si="4"/>
        <v>2.0501589173173502</v>
      </c>
      <c r="F130" s="10">
        <f t="shared" si="5"/>
        <v>109.54123999999999</v>
      </c>
    </row>
    <row r="131" spans="1:6" x14ac:dyDescent="0.3">
      <c r="A131" s="7">
        <v>1.23</v>
      </c>
      <c r="B131" s="8">
        <v>1.1179367E-3</v>
      </c>
      <c r="C131" s="8">
        <v>2.2590914000000001E-3</v>
      </c>
      <c r="D131" s="8">
        <f t="shared" si="3"/>
        <v>1.1179367E-4</v>
      </c>
      <c r="E131" s="9">
        <f t="shared" si="4"/>
        <v>2.0207686177580539</v>
      </c>
      <c r="F131" s="10">
        <f t="shared" si="5"/>
        <v>111.79366999999999</v>
      </c>
    </row>
    <row r="132" spans="1:6" x14ac:dyDescent="0.3">
      <c r="A132" s="7">
        <v>1.24</v>
      </c>
      <c r="B132" s="8">
        <v>1.1405927E-3</v>
      </c>
      <c r="C132" s="8">
        <v>2.2721247000000002E-3</v>
      </c>
      <c r="D132" s="8">
        <f t="shared" si="3"/>
        <v>1.1405926999999999E-4</v>
      </c>
      <c r="E132" s="9">
        <f t="shared" si="4"/>
        <v>1.9920561476502525</v>
      </c>
      <c r="F132" s="10">
        <f t="shared" si="5"/>
        <v>114.05927</v>
      </c>
    </row>
    <row r="133" spans="1:6" x14ac:dyDescent="0.3">
      <c r="A133" s="7">
        <v>1.25</v>
      </c>
      <c r="B133" s="8">
        <v>1.1633777E-3</v>
      </c>
      <c r="C133" s="8">
        <v>2.2848721999999999E-3</v>
      </c>
      <c r="D133" s="8">
        <f t="shared" si="3"/>
        <v>1.1633776999999999E-4</v>
      </c>
      <c r="E133" s="9">
        <f t="shared" si="4"/>
        <v>1.9639986222874997</v>
      </c>
      <c r="F133" s="10">
        <f t="shared" si="5"/>
        <v>116.33776999999999</v>
      </c>
    </row>
    <row r="134" spans="1:6" x14ac:dyDescent="0.3">
      <c r="A134" s="7">
        <v>1.26</v>
      </c>
      <c r="B134" s="8">
        <v>1.1862888E-3</v>
      </c>
      <c r="C134" s="8">
        <v>2.2973364999999998E-3</v>
      </c>
      <c r="D134" s="8">
        <f t="shared" si="3"/>
        <v>1.1862888E-4</v>
      </c>
      <c r="E134" s="9">
        <f t="shared" si="4"/>
        <v>1.9365743822246317</v>
      </c>
      <c r="F134" s="10">
        <f t="shared" si="5"/>
        <v>118.62888</v>
      </c>
    </row>
    <row r="135" spans="1:6" x14ac:dyDescent="0.3">
      <c r="A135" s="7">
        <v>1.27</v>
      </c>
      <c r="B135" s="8">
        <v>1.2093231E-3</v>
      </c>
      <c r="C135" s="8">
        <v>2.3095206E-3</v>
      </c>
      <c r="D135" s="8">
        <f t="shared" si="3"/>
        <v>1.2093231000000001E-4</v>
      </c>
      <c r="E135" s="9">
        <f t="shared" si="4"/>
        <v>1.9097630732432052</v>
      </c>
      <c r="F135" s="10">
        <f t="shared" si="5"/>
        <v>120.93231000000002</v>
      </c>
    </row>
    <row r="136" spans="1:6" x14ac:dyDescent="0.3">
      <c r="A136" s="7">
        <v>1.28</v>
      </c>
      <c r="B136" s="8">
        <v>1.2324778000000001E-3</v>
      </c>
      <c r="C136" s="8">
        <v>2.3214271000000001E-3</v>
      </c>
      <c r="D136" s="8">
        <f t="shared" ref="D136:D199" si="6">B136/$B$3</f>
        <v>1.2324778000000002E-4</v>
      </c>
      <c r="E136" s="9">
        <f t="shared" ref="E136:E199" si="7">IFERROR(C136/B136,"")</f>
        <v>1.8835447583721183</v>
      </c>
      <c r="F136" s="10">
        <f t="shared" ref="F136:F199" si="8">D136*1000000</f>
        <v>123.24778000000002</v>
      </c>
    </row>
    <row r="137" spans="1:6" x14ac:dyDescent="0.3">
      <c r="A137" s="7">
        <v>1.29</v>
      </c>
      <c r="B137" s="8">
        <v>1.2557502E-3</v>
      </c>
      <c r="C137" s="8">
        <v>2.3330589000000001E-3</v>
      </c>
      <c r="D137" s="8">
        <f t="shared" si="6"/>
        <v>1.2557502E-4</v>
      </c>
      <c r="E137" s="9">
        <f t="shared" si="7"/>
        <v>1.8579004805255059</v>
      </c>
      <c r="F137" s="10">
        <f t="shared" si="8"/>
        <v>125.57502000000001</v>
      </c>
    </row>
    <row r="138" spans="1:6" x14ac:dyDescent="0.3">
      <c r="A138" s="7">
        <v>1.3</v>
      </c>
      <c r="B138" s="8">
        <v>1.2791376000000001E-3</v>
      </c>
      <c r="C138" s="8">
        <v>2.3444188999999999E-3</v>
      </c>
      <c r="D138" s="8">
        <f t="shared" si="6"/>
        <v>1.2791376000000001E-4</v>
      </c>
      <c r="E138" s="9">
        <f t="shared" si="7"/>
        <v>1.8328121227927314</v>
      </c>
      <c r="F138" s="10">
        <f t="shared" si="8"/>
        <v>127.91376000000001</v>
      </c>
    </row>
    <row r="139" spans="1:6" x14ac:dyDescent="0.3">
      <c r="A139" s="7">
        <v>1.31</v>
      </c>
      <c r="B139" s="8">
        <v>1.3026373E-3</v>
      </c>
      <c r="C139" s="8">
        <v>2.3555100999999999E-3</v>
      </c>
      <c r="D139" s="8">
        <f t="shared" si="6"/>
        <v>1.3026372999999999E-4</v>
      </c>
      <c r="E139" s="9">
        <f t="shared" si="7"/>
        <v>1.8082624380554739</v>
      </c>
      <c r="F139" s="10">
        <f t="shared" si="8"/>
        <v>130.26372999999998</v>
      </c>
    </row>
    <row r="140" spans="1:6" x14ac:dyDescent="0.3">
      <c r="A140" s="7">
        <v>1.32</v>
      </c>
      <c r="B140" s="8">
        <v>1.3262465000000001E-3</v>
      </c>
      <c r="C140" s="8">
        <v>2.3663353999999999E-3</v>
      </c>
      <c r="D140" s="8">
        <f t="shared" si="6"/>
        <v>1.3262465E-4</v>
      </c>
      <c r="E140" s="9">
        <f t="shared" si="7"/>
        <v>1.784234981958482</v>
      </c>
      <c r="F140" s="10">
        <f t="shared" si="8"/>
        <v>132.62465</v>
      </c>
    </row>
    <row r="141" spans="1:6" x14ac:dyDescent="0.3">
      <c r="A141" s="7">
        <v>1.33</v>
      </c>
      <c r="B141" s="8">
        <v>1.3499626999999999E-3</v>
      </c>
      <c r="C141" s="8">
        <v>2.3768977E-3</v>
      </c>
      <c r="D141" s="8">
        <f t="shared" si="6"/>
        <v>1.3499627E-4</v>
      </c>
      <c r="E141" s="9">
        <f t="shared" si="7"/>
        <v>1.760713610827914</v>
      </c>
      <c r="F141" s="10">
        <f t="shared" si="8"/>
        <v>134.99627000000001</v>
      </c>
    </row>
    <row r="142" spans="1:6" x14ac:dyDescent="0.3">
      <c r="A142" s="7">
        <v>1.34</v>
      </c>
      <c r="B142" s="8">
        <v>1.3737831E-3</v>
      </c>
      <c r="C142" s="8">
        <v>2.3872000999999999E-3</v>
      </c>
      <c r="D142" s="8">
        <f t="shared" si="6"/>
        <v>1.3737830999999999E-4</v>
      </c>
      <c r="E142" s="9">
        <f t="shared" si="7"/>
        <v>1.7376834086836561</v>
      </c>
      <c r="F142" s="10">
        <f t="shared" si="8"/>
        <v>137.37831</v>
      </c>
    </row>
    <row r="143" spans="1:6" x14ac:dyDescent="0.3">
      <c r="A143" s="7">
        <v>1.35</v>
      </c>
      <c r="B143" s="8">
        <v>1.3977054000000001E-3</v>
      </c>
      <c r="C143" s="8">
        <v>2.3972455999999999E-3</v>
      </c>
      <c r="D143" s="8">
        <f t="shared" si="6"/>
        <v>1.3977054000000001E-4</v>
      </c>
      <c r="E143" s="9">
        <f t="shared" si="7"/>
        <v>1.7151293827726499</v>
      </c>
      <c r="F143" s="10">
        <f t="shared" si="8"/>
        <v>139.77054000000001</v>
      </c>
    </row>
    <row r="144" spans="1:6" x14ac:dyDescent="0.3">
      <c r="A144" s="7">
        <v>1.36</v>
      </c>
      <c r="B144" s="8">
        <v>1.4217267999999999E-3</v>
      </c>
      <c r="C144" s="8">
        <v>2.4070370999999999E-3</v>
      </c>
      <c r="D144" s="8">
        <f t="shared" si="6"/>
        <v>1.4217268E-4</v>
      </c>
      <c r="E144" s="9">
        <f t="shared" si="7"/>
        <v>1.6930377200457922</v>
      </c>
      <c r="F144" s="10">
        <f t="shared" si="8"/>
        <v>142.17268000000001</v>
      </c>
    </row>
    <row r="145" spans="1:6" x14ac:dyDescent="0.3">
      <c r="A145" s="7">
        <v>1.37</v>
      </c>
      <c r="B145" s="8">
        <v>1.4458449E-3</v>
      </c>
      <c r="C145" s="8">
        <v>2.4165777999999999E-3</v>
      </c>
      <c r="D145" s="8">
        <f t="shared" si="6"/>
        <v>1.4458449E-4</v>
      </c>
      <c r="E145" s="9">
        <f t="shared" si="7"/>
        <v>1.6713949054978163</v>
      </c>
      <c r="F145" s="10">
        <f t="shared" si="8"/>
        <v>144.58449000000002</v>
      </c>
    </row>
    <row r="146" spans="1:6" x14ac:dyDescent="0.3">
      <c r="A146" s="7">
        <v>1.38</v>
      </c>
      <c r="B146" s="8">
        <v>1.4700570999999999E-3</v>
      </c>
      <c r="C146" s="8">
        <v>2.4258706999999999E-3</v>
      </c>
      <c r="D146" s="8">
        <f t="shared" si="6"/>
        <v>1.4700571E-4</v>
      </c>
      <c r="E146" s="9">
        <f t="shared" si="7"/>
        <v>1.6501880777284095</v>
      </c>
      <c r="F146" s="10">
        <f t="shared" si="8"/>
        <v>147.00570999999999</v>
      </c>
    </row>
    <row r="147" spans="1:6" x14ac:dyDescent="0.3">
      <c r="A147" s="7">
        <v>1.39</v>
      </c>
      <c r="B147" s="8">
        <v>1.494361E-3</v>
      </c>
      <c r="C147" s="8">
        <v>2.4349188000000002E-3</v>
      </c>
      <c r="D147" s="8">
        <f t="shared" si="6"/>
        <v>1.494361E-4</v>
      </c>
      <c r="E147" s="9">
        <f t="shared" si="7"/>
        <v>1.6294046753093798</v>
      </c>
      <c r="F147" s="10">
        <f t="shared" si="8"/>
        <v>149.43610000000001</v>
      </c>
    </row>
    <row r="148" spans="1:6" x14ac:dyDescent="0.3">
      <c r="A148" s="7">
        <v>1.4</v>
      </c>
      <c r="B148" s="8">
        <v>1.5187543000000001E-3</v>
      </c>
      <c r="C148" s="8">
        <v>2.4437253E-3</v>
      </c>
      <c r="D148" s="8">
        <f t="shared" si="6"/>
        <v>1.5187543000000001E-4</v>
      </c>
      <c r="E148" s="9">
        <f t="shared" si="7"/>
        <v>1.6090326789527443</v>
      </c>
      <c r="F148" s="10">
        <f t="shared" si="8"/>
        <v>151.87542999999999</v>
      </c>
    </row>
    <row r="149" spans="1:6" x14ac:dyDescent="0.3">
      <c r="A149" s="7">
        <v>1.41</v>
      </c>
      <c r="B149" s="8">
        <v>1.5432344E-3</v>
      </c>
      <c r="C149" s="8">
        <v>2.4522931E-3</v>
      </c>
      <c r="D149" s="8">
        <f t="shared" si="6"/>
        <v>1.5432344E-4</v>
      </c>
      <c r="E149" s="9">
        <f t="shared" si="7"/>
        <v>1.5890606767189741</v>
      </c>
      <c r="F149" s="10">
        <f t="shared" si="8"/>
        <v>154.32344000000001</v>
      </c>
    </row>
    <row r="150" spans="1:6" x14ac:dyDescent="0.3">
      <c r="A150" s="7">
        <v>1.42</v>
      </c>
      <c r="B150" s="8">
        <v>1.5677989999999999E-3</v>
      </c>
      <c r="C150" s="8">
        <v>2.4606253999999998E-3</v>
      </c>
      <c r="D150" s="8">
        <f t="shared" si="6"/>
        <v>1.5677989999999999E-4</v>
      </c>
      <c r="E150" s="9">
        <f t="shared" si="7"/>
        <v>1.5694775924719941</v>
      </c>
      <c r="F150" s="10">
        <f t="shared" si="8"/>
        <v>156.7799</v>
      </c>
    </row>
    <row r="151" spans="1:6" x14ac:dyDescent="0.3">
      <c r="A151" s="7">
        <v>1.43</v>
      </c>
      <c r="B151" s="8">
        <v>1.5924457000000001E-3</v>
      </c>
      <c r="C151" s="8">
        <v>2.4687251999999998E-3</v>
      </c>
      <c r="D151" s="8">
        <f t="shared" si="6"/>
        <v>1.5924457000000001E-4</v>
      </c>
      <c r="E151" s="9">
        <f t="shared" si="7"/>
        <v>1.5502727659724911</v>
      </c>
      <c r="F151" s="10">
        <f t="shared" si="8"/>
        <v>159.24457000000001</v>
      </c>
    </row>
    <row r="152" spans="1:6" x14ac:dyDescent="0.3">
      <c r="A152" s="7">
        <v>1.44</v>
      </c>
      <c r="B152" s="8">
        <v>1.6171722999999999E-3</v>
      </c>
      <c r="C152" s="8">
        <v>2.4765956E-3</v>
      </c>
      <c r="D152" s="8">
        <f t="shared" si="6"/>
        <v>1.6171723E-4</v>
      </c>
      <c r="E152" s="9">
        <f t="shared" si="7"/>
        <v>1.5314358278335587</v>
      </c>
      <c r="F152" s="10">
        <f t="shared" si="8"/>
        <v>161.71723</v>
      </c>
    </row>
    <row r="153" spans="1:6" x14ac:dyDescent="0.3">
      <c r="A153" s="7">
        <v>1.45</v>
      </c>
      <c r="B153" s="8">
        <v>1.6419765E-3</v>
      </c>
      <c r="C153" s="8">
        <v>2.4842396999999999E-3</v>
      </c>
      <c r="D153" s="8">
        <f t="shared" si="6"/>
        <v>1.6419764999999999E-4</v>
      </c>
      <c r="E153" s="9">
        <f t="shared" si="7"/>
        <v>1.5129569150350202</v>
      </c>
      <c r="F153" s="10">
        <f t="shared" si="8"/>
        <v>164.19764999999998</v>
      </c>
    </row>
    <row r="154" spans="1:6" x14ac:dyDescent="0.3">
      <c r="A154" s="7">
        <v>1.46</v>
      </c>
      <c r="B154" s="8">
        <v>1.666856E-3</v>
      </c>
      <c r="C154" s="8">
        <v>2.4916604999999999E-3</v>
      </c>
      <c r="D154" s="8">
        <f t="shared" si="6"/>
        <v>1.6668560000000001E-4</v>
      </c>
      <c r="E154" s="9">
        <f t="shared" si="7"/>
        <v>1.494826487710996</v>
      </c>
      <c r="F154" s="10">
        <f t="shared" si="8"/>
        <v>166.68560000000002</v>
      </c>
    </row>
    <row r="155" spans="1:6" x14ac:dyDescent="0.3">
      <c r="A155" s="7">
        <v>1.47</v>
      </c>
      <c r="B155" s="8">
        <v>1.6918085999999999E-3</v>
      </c>
      <c r="C155" s="8">
        <v>2.4988610999999998E-3</v>
      </c>
      <c r="D155" s="8">
        <f t="shared" si="6"/>
        <v>1.6918085999999998E-4</v>
      </c>
      <c r="E155" s="9">
        <f t="shared" si="7"/>
        <v>1.4770353454876632</v>
      </c>
      <c r="F155" s="10">
        <f t="shared" si="8"/>
        <v>169.18086</v>
      </c>
    </row>
    <row r="156" spans="1:6" x14ac:dyDescent="0.3">
      <c r="A156" s="7">
        <v>1.48</v>
      </c>
      <c r="B156" s="8">
        <v>1.7168321E-3</v>
      </c>
      <c r="C156" s="8">
        <v>2.5058444999999999E-3</v>
      </c>
      <c r="D156" s="8">
        <f t="shared" si="6"/>
        <v>1.7168321E-4</v>
      </c>
      <c r="E156" s="9">
        <f t="shared" si="7"/>
        <v>1.4595745850744519</v>
      </c>
      <c r="F156" s="10">
        <f t="shared" si="8"/>
        <v>171.68321</v>
      </c>
    </row>
    <row r="157" spans="1:6" x14ac:dyDescent="0.3">
      <c r="A157" s="7">
        <v>1.49</v>
      </c>
      <c r="B157" s="8">
        <v>1.7419244000000001E-3</v>
      </c>
      <c r="C157" s="8">
        <v>2.5126137000000002E-3</v>
      </c>
      <c r="D157" s="8">
        <f t="shared" si="6"/>
        <v>1.7419244000000002E-4</v>
      </c>
      <c r="E157" s="9">
        <f t="shared" si="7"/>
        <v>1.4424355614973876</v>
      </c>
      <c r="F157" s="10">
        <f t="shared" si="8"/>
        <v>174.19244000000003</v>
      </c>
    </row>
    <row r="158" spans="1:6" x14ac:dyDescent="0.3">
      <c r="A158" s="7">
        <v>1.5</v>
      </c>
      <c r="B158" s="8">
        <v>1.7670832999999999E-3</v>
      </c>
      <c r="C158" s="8">
        <v>2.5191718E-3</v>
      </c>
      <c r="D158" s="8">
        <f t="shared" si="6"/>
        <v>1.7670832999999999E-4</v>
      </c>
      <c r="E158" s="9">
        <f t="shared" si="7"/>
        <v>1.4256100999879293</v>
      </c>
      <c r="F158" s="10">
        <f t="shared" si="8"/>
        <v>176.70832999999999</v>
      </c>
    </row>
    <row r="159" spans="1:6" x14ac:dyDescent="0.3">
      <c r="A159" s="7">
        <v>1.51</v>
      </c>
      <c r="B159" s="8">
        <v>1.7923068000000001E-3</v>
      </c>
      <c r="C159" s="8">
        <v>2.5255217E-3</v>
      </c>
      <c r="D159" s="8">
        <f t="shared" si="6"/>
        <v>1.7923068E-4</v>
      </c>
      <c r="E159" s="9">
        <f t="shared" si="7"/>
        <v>1.4090900620362541</v>
      </c>
      <c r="F159" s="10">
        <f t="shared" si="8"/>
        <v>179.23068000000001</v>
      </c>
    </row>
    <row r="160" spans="1:6" x14ac:dyDescent="0.3">
      <c r="A160" s="7">
        <v>1.52</v>
      </c>
      <c r="B160" s="8">
        <v>1.8175927000000001E-3</v>
      </c>
      <c r="C160" s="8">
        <v>2.5316664999999999E-3</v>
      </c>
      <c r="D160" s="8">
        <f t="shared" si="6"/>
        <v>1.8175927000000001E-4</v>
      </c>
      <c r="E160" s="9">
        <f t="shared" si="7"/>
        <v>1.3928678850877867</v>
      </c>
      <c r="F160" s="10">
        <f t="shared" si="8"/>
        <v>181.75927000000001</v>
      </c>
    </row>
    <row r="161" spans="1:6" x14ac:dyDescent="0.3">
      <c r="A161" s="7">
        <v>1.53</v>
      </c>
      <c r="B161" s="8">
        <v>1.8429391000000001E-3</v>
      </c>
      <c r="C161" s="8">
        <v>2.5376091000000002E-3</v>
      </c>
      <c r="D161" s="8">
        <f t="shared" si="6"/>
        <v>1.8429391E-4</v>
      </c>
      <c r="E161" s="9">
        <f t="shared" si="7"/>
        <v>1.376935949755475</v>
      </c>
      <c r="F161" s="10">
        <f t="shared" si="8"/>
        <v>184.29391000000001</v>
      </c>
    </row>
    <row r="162" spans="1:6" x14ac:dyDescent="0.3">
      <c r="A162" s="7">
        <v>1.54</v>
      </c>
      <c r="B162" s="8">
        <v>1.8683439E-3</v>
      </c>
      <c r="C162" s="8">
        <v>2.5433525000000002E-3</v>
      </c>
      <c r="D162" s="8">
        <f t="shared" si="6"/>
        <v>1.8683438999999999E-4</v>
      </c>
      <c r="E162" s="9">
        <f t="shared" si="7"/>
        <v>1.3612871270647766</v>
      </c>
      <c r="F162" s="10">
        <f t="shared" si="8"/>
        <v>186.83438999999998</v>
      </c>
    </row>
    <row r="163" spans="1:6" x14ac:dyDescent="0.3">
      <c r="A163" s="7">
        <v>1.55</v>
      </c>
      <c r="B163" s="8">
        <v>1.8938052E-3</v>
      </c>
      <c r="C163" s="8">
        <v>2.5488996000000001E-3</v>
      </c>
      <c r="D163" s="8">
        <f t="shared" si="6"/>
        <v>1.8938051999999999E-4</v>
      </c>
      <c r="E163" s="9">
        <f t="shared" si="7"/>
        <v>1.3459143527539159</v>
      </c>
      <c r="F163" s="10">
        <f t="shared" si="8"/>
        <v>189.38051999999999</v>
      </c>
    </row>
    <row r="164" spans="1:6" x14ac:dyDescent="0.3">
      <c r="A164" s="7">
        <v>1.56</v>
      </c>
      <c r="B164" s="8">
        <v>1.9193210000000001E-3</v>
      </c>
      <c r="C164" s="8">
        <v>2.5542532999999999E-3</v>
      </c>
      <c r="D164" s="8">
        <f t="shared" si="6"/>
        <v>1.919321E-4</v>
      </c>
      <c r="E164" s="9">
        <f t="shared" si="7"/>
        <v>1.3308108961450429</v>
      </c>
      <c r="F164" s="10">
        <f t="shared" si="8"/>
        <v>191.93209999999999</v>
      </c>
    </row>
    <row r="165" spans="1:6" x14ac:dyDescent="0.3">
      <c r="A165" s="7">
        <v>1.57</v>
      </c>
      <c r="B165" s="8">
        <v>1.9448893000000001E-3</v>
      </c>
      <c r="C165" s="8">
        <v>2.5594165999999999E-3</v>
      </c>
      <c r="D165" s="8">
        <f t="shared" si="6"/>
        <v>1.9448893000000001E-4</v>
      </c>
      <c r="E165" s="9">
        <f t="shared" si="7"/>
        <v>1.3159703228353408</v>
      </c>
      <c r="F165" s="10">
        <f t="shared" si="8"/>
        <v>194.48893000000001</v>
      </c>
    </row>
    <row r="166" spans="1:6" x14ac:dyDescent="0.3">
      <c r="A166" s="7">
        <v>1.58</v>
      </c>
      <c r="B166" s="8">
        <v>1.9705083999999999E-3</v>
      </c>
      <c r="C166" s="8">
        <v>2.5643923000000001E-3</v>
      </c>
      <c r="D166" s="8">
        <f t="shared" si="6"/>
        <v>1.9705084E-4</v>
      </c>
      <c r="E166" s="9">
        <f t="shared" si="7"/>
        <v>1.301386129589704</v>
      </c>
      <c r="F166" s="10">
        <f t="shared" si="8"/>
        <v>197.05083999999999</v>
      </c>
    </row>
    <row r="167" spans="1:6" x14ac:dyDescent="0.3">
      <c r="A167" s="7">
        <v>1.59</v>
      </c>
      <c r="B167" s="8">
        <v>1.9961762000000002E-3</v>
      </c>
      <c r="C167" s="8">
        <v>2.5691833000000002E-3</v>
      </c>
      <c r="D167" s="8">
        <f t="shared" si="6"/>
        <v>1.9961762000000001E-4</v>
      </c>
      <c r="E167" s="9">
        <f t="shared" si="7"/>
        <v>1.2870523654174415</v>
      </c>
      <c r="F167" s="10">
        <f t="shared" si="8"/>
        <v>199.61762000000002</v>
      </c>
    </row>
    <row r="168" spans="1:6" x14ac:dyDescent="0.3">
      <c r="A168" s="7">
        <v>1.6</v>
      </c>
      <c r="B168" s="8">
        <v>2.0218911000000001E-3</v>
      </c>
      <c r="C168" s="8">
        <v>2.5737924999999998E-3</v>
      </c>
      <c r="D168" s="8">
        <f t="shared" si="6"/>
        <v>2.0218911000000002E-4</v>
      </c>
      <c r="E168" s="9">
        <f t="shared" si="7"/>
        <v>1.2729629701619438</v>
      </c>
      <c r="F168" s="10">
        <f t="shared" si="8"/>
        <v>202.18911000000003</v>
      </c>
    </row>
    <row r="169" spans="1:6" x14ac:dyDescent="0.3">
      <c r="A169" s="7">
        <v>1.61</v>
      </c>
      <c r="B169" s="8">
        <v>2.0476511999999998E-3</v>
      </c>
      <c r="C169" s="8">
        <v>2.5782225E-3</v>
      </c>
      <c r="D169" s="8">
        <f t="shared" si="6"/>
        <v>2.0476511999999999E-4</v>
      </c>
      <c r="E169" s="9">
        <f t="shared" si="7"/>
        <v>1.2591121476157658</v>
      </c>
      <c r="F169" s="10">
        <f t="shared" si="8"/>
        <v>204.76512</v>
      </c>
    </row>
    <row r="170" spans="1:6" x14ac:dyDescent="0.3">
      <c r="A170" s="7">
        <v>1.62</v>
      </c>
      <c r="B170" s="8">
        <v>2.0734547E-3</v>
      </c>
      <c r="C170" s="8">
        <v>2.5824762999999999E-3</v>
      </c>
      <c r="D170" s="8">
        <f t="shared" si="6"/>
        <v>2.0734546999999999E-4</v>
      </c>
      <c r="E170" s="9">
        <f t="shared" si="7"/>
        <v>1.2454944397868928</v>
      </c>
      <c r="F170" s="10">
        <f t="shared" si="8"/>
        <v>207.34547000000001</v>
      </c>
    </row>
    <row r="171" spans="1:6" x14ac:dyDescent="0.3">
      <c r="A171" s="7">
        <v>1.63</v>
      </c>
      <c r="B171" s="8">
        <v>2.0992998000000001E-3</v>
      </c>
      <c r="C171" s="8">
        <v>2.5865566E-3</v>
      </c>
      <c r="D171" s="8">
        <f t="shared" si="6"/>
        <v>2.0992998000000002E-4</v>
      </c>
      <c r="E171" s="9">
        <f t="shared" si="7"/>
        <v>1.2321044378701889</v>
      </c>
      <c r="F171" s="10">
        <f t="shared" si="8"/>
        <v>209.92998000000003</v>
      </c>
    </row>
    <row r="172" spans="1:6" x14ac:dyDescent="0.3">
      <c r="A172" s="7">
        <v>1.64</v>
      </c>
      <c r="B172" s="8">
        <v>2.1251849999999999E-3</v>
      </c>
      <c r="C172" s="8">
        <v>2.5904662000000001E-3</v>
      </c>
      <c r="D172" s="8">
        <f t="shared" si="6"/>
        <v>2.1251849999999998E-4</v>
      </c>
      <c r="E172" s="9">
        <f t="shared" si="7"/>
        <v>1.2189367984434296</v>
      </c>
      <c r="F172" s="10">
        <f t="shared" si="8"/>
        <v>212.51849999999999</v>
      </c>
    </row>
    <row r="173" spans="1:6" x14ac:dyDescent="0.3">
      <c r="A173" s="7">
        <v>1.65</v>
      </c>
      <c r="B173" s="8">
        <v>2.1511083000000002E-3</v>
      </c>
      <c r="C173" s="8">
        <v>2.5942077000000001E-3</v>
      </c>
      <c r="D173" s="8">
        <f t="shared" si="6"/>
        <v>2.1511083000000001E-4</v>
      </c>
      <c r="E173" s="9">
        <f t="shared" si="7"/>
        <v>1.2059865605092965</v>
      </c>
      <c r="F173" s="10">
        <f t="shared" si="8"/>
        <v>215.11083000000002</v>
      </c>
    </row>
    <row r="174" spans="1:6" x14ac:dyDescent="0.3">
      <c r="A174" s="7">
        <v>1.66</v>
      </c>
      <c r="B174" s="8">
        <v>2.1770683E-3</v>
      </c>
      <c r="C174" s="8">
        <v>2.5977838E-3</v>
      </c>
      <c r="D174" s="8">
        <f t="shared" si="6"/>
        <v>2.1770683000000001E-4</v>
      </c>
      <c r="E174" s="9">
        <f t="shared" si="7"/>
        <v>1.1932486454375364</v>
      </c>
      <c r="F174" s="10">
        <f t="shared" si="8"/>
        <v>217.70683</v>
      </c>
    </row>
    <row r="175" spans="1:6" x14ac:dyDescent="0.3">
      <c r="A175" s="7">
        <v>1.67</v>
      </c>
      <c r="B175" s="8">
        <v>2.2030632E-3</v>
      </c>
      <c r="C175" s="8">
        <v>2.6011973000000001E-3</v>
      </c>
      <c r="D175" s="8">
        <f t="shared" si="6"/>
        <v>2.2030632E-4</v>
      </c>
      <c r="E175" s="9">
        <f t="shared" si="7"/>
        <v>1.1807184196985361</v>
      </c>
      <c r="F175" s="10">
        <f t="shared" si="8"/>
        <v>220.30632</v>
      </c>
    </row>
    <row r="176" spans="1:6" x14ac:dyDescent="0.3">
      <c r="A176" s="7">
        <v>1.68</v>
      </c>
      <c r="B176" s="8">
        <v>2.2290914E-3</v>
      </c>
      <c r="C176" s="8">
        <v>2.6044507000000001E-3</v>
      </c>
      <c r="D176" s="8">
        <f t="shared" si="6"/>
        <v>2.2290914000000001E-4</v>
      </c>
      <c r="E176" s="9">
        <f t="shared" si="7"/>
        <v>1.1683911660149962</v>
      </c>
      <c r="F176" s="10">
        <f t="shared" si="8"/>
        <v>222.90914000000001</v>
      </c>
    </row>
    <row r="177" spans="1:6" x14ac:dyDescent="0.3">
      <c r="A177" s="7">
        <v>1.69</v>
      </c>
      <c r="B177" s="8">
        <v>2.2551514000000001E-3</v>
      </c>
      <c r="C177" s="8">
        <v>2.6075466999999999E-3</v>
      </c>
      <c r="D177" s="8">
        <f t="shared" si="6"/>
        <v>2.2551514000000001E-4</v>
      </c>
      <c r="E177" s="9">
        <f t="shared" si="7"/>
        <v>1.1562623689034801</v>
      </c>
      <c r="F177" s="10">
        <f t="shared" si="8"/>
        <v>225.51514</v>
      </c>
    </row>
    <row r="178" spans="1:6" x14ac:dyDescent="0.3">
      <c r="A178" s="7">
        <v>1.7</v>
      </c>
      <c r="B178" s="8">
        <v>2.2812416E-3</v>
      </c>
      <c r="C178" s="8">
        <v>2.6104879000000002E-3</v>
      </c>
      <c r="D178" s="8">
        <f t="shared" si="6"/>
        <v>2.2812416E-4</v>
      </c>
      <c r="E178" s="9">
        <f t="shared" si="7"/>
        <v>1.1443276766476642</v>
      </c>
      <c r="F178" s="10">
        <f t="shared" si="8"/>
        <v>228.12415999999999</v>
      </c>
    </row>
    <row r="179" spans="1:6" x14ac:dyDescent="0.3">
      <c r="A179" s="7">
        <v>1.71</v>
      </c>
      <c r="B179" s="8">
        <v>2.3073604000000002E-3</v>
      </c>
      <c r="C179" s="8">
        <v>2.6132767000000001E-3</v>
      </c>
      <c r="D179" s="8">
        <f t="shared" si="6"/>
        <v>2.3073604000000002E-4</v>
      </c>
      <c r="E179" s="9">
        <f t="shared" si="7"/>
        <v>1.1325827989420292</v>
      </c>
      <c r="F179" s="10">
        <f t="shared" si="8"/>
        <v>230.73604000000003</v>
      </c>
    </row>
    <row r="180" spans="1:6" x14ac:dyDescent="0.3">
      <c r="A180" s="7">
        <v>1.72</v>
      </c>
      <c r="B180" s="8">
        <v>2.3335064000000001E-3</v>
      </c>
      <c r="C180" s="8">
        <v>2.6159158000000002E-3</v>
      </c>
      <c r="D180" s="8">
        <f t="shared" si="6"/>
        <v>2.3335064E-4</v>
      </c>
      <c r="E180" s="9">
        <f t="shared" si="7"/>
        <v>1.1210236235049538</v>
      </c>
      <c r="F180" s="10">
        <f t="shared" si="8"/>
        <v>233.35064</v>
      </c>
    </row>
    <row r="181" spans="1:6" x14ac:dyDescent="0.3">
      <c r="A181" s="7">
        <v>1.73</v>
      </c>
      <c r="B181" s="8">
        <v>2.359678E-3</v>
      </c>
      <c r="C181" s="8">
        <v>2.6184076999999999E-3</v>
      </c>
      <c r="D181" s="8">
        <f t="shared" si="6"/>
        <v>2.3596780000000001E-4</v>
      </c>
      <c r="E181" s="9">
        <f t="shared" si="7"/>
        <v>1.1096461890139246</v>
      </c>
      <c r="F181" s="10">
        <f t="shared" si="8"/>
        <v>235.96780000000001</v>
      </c>
    </row>
    <row r="182" spans="1:6" x14ac:dyDescent="0.3">
      <c r="A182" s="7">
        <v>1.74</v>
      </c>
      <c r="B182" s="8">
        <v>2.3858738E-3</v>
      </c>
      <c r="C182" s="8">
        <v>2.6207548000000002E-3</v>
      </c>
      <c r="D182" s="8">
        <f t="shared" si="6"/>
        <v>2.3858738000000001E-4</v>
      </c>
      <c r="E182" s="9">
        <f t="shared" si="7"/>
        <v>1.0984465314133547</v>
      </c>
      <c r="F182" s="10">
        <f t="shared" si="8"/>
        <v>238.58738000000002</v>
      </c>
    </row>
    <row r="183" spans="1:6" x14ac:dyDescent="0.3">
      <c r="A183" s="7">
        <v>1.75</v>
      </c>
      <c r="B183" s="8">
        <v>2.4120923999999999E-3</v>
      </c>
      <c r="C183" s="8">
        <v>2.6229596E-3</v>
      </c>
      <c r="D183" s="8">
        <f t="shared" si="6"/>
        <v>2.4120924E-4</v>
      </c>
      <c r="E183" s="9">
        <f t="shared" si="7"/>
        <v>1.0874208633135281</v>
      </c>
      <c r="F183" s="10">
        <f t="shared" si="8"/>
        <v>241.20923999999999</v>
      </c>
    </row>
    <row r="184" spans="1:6" x14ac:dyDescent="0.3">
      <c r="A184" s="7">
        <v>1.76</v>
      </c>
      <c r="B184" s="8">
        <v>2.4383323000000002E-3</v>
      </c>
      <c r="C184" s="8">
        <v>2.6250243999999998E-3</v>
      </c>
      <c r="D184" s="8">
        <f t="shared" si="6"/>
        <v>2.4383323000000002E-4</v>
      </c>
      <c r="E184" s="9">
        <f t="shared" si="7"/>
        <v>1.0765654869928925</v>
      </c>
      <c r="F184" s="10">
        <f t="shared" si="8"/>
        <v>243.83323000000001</v>
      </c>
    </row>
    <row r="185" spans="1:6" x14ac:dyDescent="0.3">
      <c r="A185" s="7">
        <v>1.77</v>
      </c>
      <c r="B185" s="8">
        <v>2.4645921999999999E-3</v>
      </c>
      <c r="C185" s="8">
        <v>2.6269518E-3</v>
      </c>
      <c r="D185" s="8">
        <f t="shared" si="6"/>
        <v>2.4645921999999997E-4</v>
      </c>
      <c r="E185" s="9">
        <f t="shared" si="7"/>
        <v>1.0658768619003176</v>
      </c>
      <c r="F185" s="10">
        <f t="shared" si="8"/>
        <v>246.45921999999996</v>
      </c>
    </row>
    <row r="186" spans="1:6" x14ac:dyDescent="0.3">
      <c r="A186" s="7">
        <v>1.78</v>
      </c>
      <c r="B186" s="8">
        <v>2.4908706999999999E-3</v>
      </c>
      <c r="C186" s="8">
        <v>2.6287440000000001E-3</v>
      </c>
      <c r="D186" s="8">
        <f t="shared" si="6"/>
        <v>2.4908706999999999E-4</v>
      </c>
      <c r="E186" s="9">
        <f t="shared" si="7"/>
        <v>1.0553514479896529</v>
      </c>
      <c r="F186" s="10">
        <f t="shared" si="8"/>
        <v>249.08706999999998</v>
      </c>
    </row>
    <row r="187" spans="1:6" x14ac:dyDescent="0.3">
      <c r="A187" s="7">
        <v>1.79</v>
      </c>
      <c r="B187" s="8">
        <v>2.5171664000000001E-3</v>
      </c>
      <c r="C187" s="8">
        <v>2.6304034E-3</v>
      </c>
      <c r="D187" s="8">
        <f t="shared" si="6"/>
        <v>2.5171664000000002E-4</v>
      </c>
      <c r="E187" s="9">
        <f t="shared" si="7"/>
        <v>1.0449859016074583</v>
      </c>
      <c r="F187" s="10">
        <f t="shared" si="8"/>
        <v>251.71664000000001</v>
      </c>
    </row>
    <row r="188" spans="1:6" x14ac:dyDescent="0.3">
      <c r="A188" s="7">
        <v>1.8</v>
      </c>
      <c r="B188" s="8">
        <v>2.5434781000000001E-3</v>
      </c>
      <c r="C188" s="8">
        <v>2.6319322000000001E-3</v>
      </c>
      <c r="D188" s="8">
        <f t="shared" si="6"/>
        <v>2.5434781E-4</v>
      </c>
      <c r="E188" s="9">
        <f t="shared" si="7"/>
        <v>1.0347768278405858</v>
      </c>
      <c r="F188" s="10">
        <f t="shared" si="8"/>
        <v>254.34781000000001</v>
      </c>
    </row>
    <row r="189" spans="1:6" x14ac:dyDescent="0.3">
      <c r="A189" s="7">
        <v>1.81</v>
      </c>
      <c r="B189" s="8">
        <v>2.5698043999999999E-3</v>
      </c>
      <c r="C189" s="8">
        <v>2.6333327999999998E-3</v>
      </c>
      <c r="D189" s="8">
        <f t="shared" si="6"/>
        <v>2.5698044E-4</v>
      </c>
      <c r="E189" s="9">
        <f t="shared" si="7"/>
        <v>1.0247211032870829</v>
      </c>
      <c r="F189" s="10">
        <f t="shared" si="8"/>
        <v>256.98043999999999</v>
      </c>
    </row>
    <row r="190" spans="1:6" x14ac:dyDescent="0.3">
      <c r="A190" s="7">
        <v>1.82</v>
      </c>
      <c r="B190" s="8">
        <v>2.5961440999999999E-3</v>
      </c>
      <c r="C190" s="8">
        <v>2.6346074999999999E-3</v>
      </c>
      <c r="D190" s="8">
        <f t="shared" si="6"/>
        <v>2.5961441000000001E-4</v>
      </c>
      <c r="E190" s="9">
        <f t="shared" si="7"/>
        <v>1.0148155874706646</v>
      </c>
      <c r="F190" s="10">
        <f t="shared" si="8"/>
        <v>259.61441000000002</v>
      </c>
    </row>
    <row r="191" spans="1:6" x14ac:dyDescent="0.3">
      <c r="A191" s="7">
        <v>1.83</v>
      </c>
      <c r="B191" s="8">
        <v>2.6224959000000002E-3</v>
      </c>
      <c r="C191" s="8">
        <v>2.6357582999999999E-3</v>
      </c>
      <c r="D191" s="8">
        <f t="shared" si="6"/>
        <v>2.6224959000000002E-4</v>
      </c>
      <c r="E191" s="9">
        <f t="shared" si="7"/>
        <v>1.0050571671055806</v>
      </c>
      <c r="F191" s="10">
        <f t="shared" si="8"/>
        <v>262.24959000000001</v>
      </c>
    </row>
    <row r="192" spans="1:6" x14ac:dyDescent="0.3">
      <c r="A192" s="7">
        <v>1.84</v>
      </c>
      <c r="B192" s="8">
        <v>2.6488586999999998E-3</v>
      </c>
      <c r="C192" s="8">
        <v>2.6367876E-3</v>
      </c>
      <c r="D192" s="8">
        <f t="shared" si="6"/>
        <v>2.6488586999999996E-4</v>
      </c>
      <c r="E192" s="9">
        <f t="shared" si="7"/>
        <v>0.99544290527841295</v>
      </c>
      <c r="F192" s="10">
        <f t="shared" si="8"/>
        <v>264.88586999999995</v>
      </c>
    </row>
    <row r="193" spans="1:6" x14ac:dyDescent="0.3">
      <c r="A193" s="7">
        <v>1.85</v>
      </c>
      <c r="B193" s="8">
        <v>2.6752311000000002E-3</v>
      </c>
      <c r="C193" s="8">
        <v>2.6376974000000002E-3</v>
      </c>
      <c r="D193" s="8">
        <f t="shared" si="6"/>
        <v>2.6752311000000003E-4</v>
      </c>
      <c r="E193" s="9">
        <f t="shared" si="7"/>
        <v>0.98596992237418291</v>
      </c>
      <c r="F193" s="10">
        <f t="shared" si="8"/>
        <v>267.52311000000003</v>
      </c>
    </row>
    <row r="194" spans="1:6" x14ac:dyDescent="0.3">
      <c r="A194" s="7">
        <v>1.86</v>
      </c>
      <c r="B194" s="8">
        <v>2.7016119999999999E-3</v>
      </c>
      <c r="C194" s="8">
        <v>2.6384899999999998E-3</v>
      </c>
      <c r="D194" s="8">
        <f t="shared" si="6"/>
        <v>2.701612E-4</v>
      </c>
      <c r="E194" s="9">
        <f t="shared" si="7"/>
        <v>0.97663543099453209</v>
      </c>
      <c r="F194" s="10">
        <f t="shared" si="8"/>
        <v>270.16120000000001</v>
      </c>
    </row>
    <row r="195" spans="1:6" x14ac:dyDescent="0.3">
      <c r="A195" s="7">
        <v>1.87</v>
      </c>
      <c r="B195" s="8">
        <v>2.7280003000000001E-3</v>
      </c>
      <c r="C195" s="8">
        <v>2.6391673000000001E-3</v>
      </c>
      <c r="D195" s="8">
        <f t="shared" si="6"/>
        <v>2.7280003000000001E-4</v>
      </c>
      <c r="E195" s="9">
        <f t="shared" si="7"/>
        <v>0.96743658715873304</v>
      </c>
      <c r="F195" s="10">
        <f t="shared" si="8"/>
        <v>272.80002999999999</v>
      </c>
    </row>
    <row r="196" spans="1:6" x14ac:dyDescent="0.3">
      <c r="A196" s="7">
        <v>1.88</v>
      </c>
      <c r="B196" s="8">
        <v>2.7543948000000001E-3</v>
      </c>
      <c r="C196" s="8">
        <v>2.6397316E-3</v>
      </c>
      <c r="D196" s="8">
        <f t="shared" si="6"/>
        <v>2.7543948000000002E-4</v>
      </c>
      <c r="E196" s="9">
        <f t="shared" si="7"/>
        <v>0.9583708188818828</v>
      </c>
      <c r="F196" s="10">
        <f t="shared" si="8"/>
        <v>275.43948</v>
      </c>
    </row>
    <row r="197" spans="1:6" x14ac:dyDescent="0.3">
      <c r="A197" s="7">
        <v>1.89</v>
      </c>
      <c r="B197" s="8">
        <v>2.7807944000000002E-3</v>
      </c>
      <c r="C197" s="8">
        <v>2.6401847000000001E-3</v>
      </c>
      <c r="D197" s="8">
        <f t="shared" si="6"/>
        <v>2.7807944000000001E-4</v>
      </c>
      <c r="E197" s="9">
        <f t="shared" si="7"/>
        <v>0.94943542032449424</v>
      </c>
      <c r="F197" s="10">
        <f t="shared" si="8"/>
        <v>278.07944000000003</v>
      </c>
    </row>
    <row r="198" spans="1:6" x14ac:dyDescent="0.3">
      <c r="A198" s="7">
        <v>1.9</v>
      </c>
      <c r="B198" s="8">
        <v>2.8071979999999999E-3</v>
      </c>
      <c r="C198" s="8">
        <v>2.6405288999999999E-3</v>
      </c>
      <c r="D198" s="8">
        <f t="shared" si="6"/>
        <v>2.8071979999999997E-4</v>
      </c>
      <c r="E198" s="9">
        <f t="shared" si="7"/>
        <v>0.94062795000566402</v>
      </c>
      <c r="F198" s="10">
        <f t="shared" si="8"/>
        <v>280.71979999999996</v>
      </c>
    </row>
    <row r="199" spans="1:6" x14ac:dyDescent="0.3">
      <c r="A199" s="7">
        <v>1.91</v>
      </c>
      <c r="B199" s="8">
        <v>2.8336044000000001E-3</v>
      </c>
      <c r="C199" s="8">
        <v>2.6407659000000001E-3</v>
      </c>
      <c r="D199" s="8">
        <f t="shared" si="6"/>
        <v>2.8336044E-4</v>
      </c>
      <c r="E199" s="9">
        <f t="shared" si="7"/>
        <v>0.9319458637204262</v>
      </c>
      <c r="F199" s="10">
        <f t="shared" si="8"/>
        <v>283.36043999999998</v>
      </c>
    </row>
    <row r="200" spans="1:6" x14ac:dyDescent="0.3">
      <c r="A200" s="7">
        <v>1.92</v>
      </c>
      <c r="B200" s="8">
        <v>2.8600127000000001E-3</v>
      </c>
      <c r="C200" s="8">
        <v>2.6408979E-3</v>
      </c>
      <c r="D200" s="8">
        <f t="shared" ref="D200:D258" si="9">B200/$B$3</f>
        <v>2.8600127000000003E-4</v>
      </c>
      <c r="E200" s="9">
        <f t="shared" ref="E200:E258" si="10">IFERROR(C200/B200,"")</f>
        <v>0.9233867737720185</v>
      </c>
      <c r="F200" s="10">
        <f t="shared" ref="F200:F258" si="11">D200*1000000</f>
        <v>286.00127000000003</v>
      </c>
    </row>
    <row r="201" spans="1:6" x14ac:dyDescent="0.3">
      <c r="A201" s="7">
        <v>1.93</v>
      </c>
      <c r="B201" s="8">
        <v>2.8864219E-3</v>
      </c>
      <c r="C201" s="8">
        <v>2.6409266999999998E-3</v>
      </c>
      <c r="D201" s="8">
        <f t="shared" si="9"/>
        <v>2.8864218999999998E-4</v>
      </c>
      <c r="E201" s="9">
        <f t="shared" si="10"/>
        <v>0.9149482617215452</v>
      </c>
      <c r="F201" s="10">
        <f t="shared" si="11"/>
        <v>288.64218999999997</v>
      </c>
    </row>
    <row r="202" spans="1:6" x14ac:dyDescent="0.3">
      <c r="A202" s="7">
        <v>1.94</v>
      </c>
      <c r="B202" s="8">
        <v>2.9128308000000002E-3</v>
      </c>
      <c r="C202" s="8">
        <v>2.6408541999999998E-3</v>
      </c>
      <c r="D202" s="8">
        <f t="shared" si="9"/>
        <v>2.9128308000000004E-4</v>
      </c>
      <c r="E202" s="9">
        <f t="shared" si="10"/>
        <v>0.90662808152124719</v>
      </c>
      <c r="F202" s="10">
        <f t="shared" si="11"/>
        <v>291.28308000000004</v>
      </c>
    </row>
    <row r="203" spans="1:6" x14ac:dyDescent="0.3">
      <c r="A203" s="7">
        <v>1.95</v>
      </c>
      <c r="B203" s="8">
        <v>2.9392385E-3</v>
      </c>
      <c r="C203" s="8">
        <v>2.6406823999999998E-3</v>
      </c>
      <c r="D203" s="8">
        <f t="shared" si="9"/>
        <v>2.9392384999999999E-4</v>
      </c>
      <c r="E203" s="9">
        <f t="shared" si="10"/>
        <v>0.89842399655557037</v>
      </c>
      <c r="F203" s="10">
        <f t="shared" si="11"/>
        <v>293.92385000000002</v>
      </c>
    </row>
    <row r="204" spans="1:6" x14ac:dyDescent="0.3">
      <c r="A204" s="7">
        <v>1.96</v>
      </c>
      <c r="B204" s="8">
        <v>2.9656438999999999E-3</v>
      </c>
      <c r="C204" s="8">
        <v>2.6404129999999999E-3</v>
      </c>
      <c r="D204" s="8">
        <f t="shared" si="9"/>
        <v>2.9656438999999999E-4</v>
      </c>
      <c r="E204" s="9">
        <f t="shared" si="10"/>
        <v>0.89033379901073084</v>
      </c>
      <c r="F204" s="10">
        <f t="shared" si="11"/>
        <v>296.56439</v>
      </c>
    </row>
    <row r="205" spans="1:6" x14ac:dyDescent="0.3">
      <c r="A205" s="7">
        <v>1.97</v>
      </c>
      <c r="B205" s="8">
        <v>2.9920462E-3</v>
      </c>
      <c r="C205" s="8">
        <v>2.6400478999999998E-3</v>
      </c>
      <c r="D205" s="8">
        <f t="shared" si="9"/>
        <v>2.9920461999999998E-4</v>
      </c>
      <c r="E205" s="9">
        <f t="shared" si="10"/>
        <v>0.88235532593046184</v>
      </c>
      <c r="F205" s="10">
        <f t="shared" si="11"/>
        <v>299.20461999999998</v>
      </c>
    </row>
    <row r="206" spans="1:6" x14ac:dyDescent="0.3">
      <c r="A206" s="7">
        <v>1.98</v>
      </c>
      <c r="B206" s="8">
        <v>3.0184444E-3</v>
      </c>
      <c r="C206" s="8">
        <v>2.6395888999999999E-3</v>
      </c>
      <c r="D206" s="8">
        <f t="shared" si="9"/>
        <v>3.0184443999999998E-4</v>
      </c>
      <c r="E206" s="9">
        <f t="shared" si="10"/>
        <v>0.87448650702328656</v>
      </c>
      <c r="F206" s="10">
        <f t="shared" si="11"/>
        <v>301.84443999999996</v>
      </c>
    </row>
    <row r="207" spans="1:6" x14ac:dyDescent="0.3">
      <c r="A207" s="7">
        <v>1.99</v>
      </c>
      <c r="B207" s="8">
        <v>3.0448376000000001E-3</v>
      </c>
      <c r="C207" s="8">
        <v>2.6390378000000002E-3</v>
      </c>
      <c r="D207" s="8">
        <f t="shared" si="9"/>
        <v>3.0448376000000003E-4</v>
      </c>
      <c r="E207" s="9">
        <f t="shared" si="10"/>
        <v>0.86672530580941332</v>
      </c>
      <c r="F207" s="10">
        <f t="shared" si="11"/>
        <v>304.48376000000002</v>
      </c>
    </row>
    <row r="208" spans="1:6" x14ac:dyDescent="0.3">
      <c r="A208" s="7">
        <v>2</v>
      </c>
      <c r="B208" s="8">
        <v>3.0712246999999998E-3</v>
      </c>
      <c r="C208" s="8">
        <v>2.6383963E-3</v>
      </c>
      <c r="D208" s="8">
        <f t="shared" si="9"/>
        <v>3.0712246999999997E-4</v>
      </c>
      <c r="E208" s="9">
        <f t="shared" si="10"/>
        <v>0.85906977109164306</v>
      </c>
      <c r="F208" s="10">
        <f t="shared" si="11"/>
        <v>307.12246999999996</v>
      </c>
    </row>
    <row r="209" spans="1:6" x14ac:dyDescent="0.3">
      <c r="A209" s="7">
        <v>2.0099999999999998</v>
      </c>
      <c r="B209" s="8">
        <v>3.0976049999999998E-3</v>
      </c>
      <c r="C209" s="8">
        <v>2.6376660999999999E-3</v>
      </c>
      <c r="D209" s="8">
        <f t="shared" si="9"/>
        <v>3.0976049999999997E-4</v>
      </c>
      <c r="E209" s="9">
        <f t="shared" si="10"/>
        <v>0.85151789850545823</v>
      </c>
      <c r="F209" s="10">
        <f t="shared" si="11"/>
        <v>309.76049999999998</v>
      </c>
    </row>
    <row r="210" spans="1:6" x14ac:dyDescent="0.3">
      <c r="A210" s="7">
        <v>2.02</v>
      </c>
      <c r="B210" s="8">
        <v>3.1239776000000002E-3</v>
      </c>
      <c r="C210" s="8">
        <v>2.6368489000000001E-3</v>
      </c>
      <c r="D210" s="8">
        <f t="shared" si="9"/>
        <v>3.1239776000000001E-4</v>
      </c>
      <c r="E210" s="9">
        <f t="shared" si="10"/>
        <v>0.84406779997398185</v>
      </c>
      <c r="F210" s="10">
        <f t="shared" si="11"/>
        <v>312.39776000000001</v>
      </c>
    </row>
    <row r="211" spans="1:6" x14ac:dyDescent="0.3">
      <c r="A211" s="7">
        <v>2.0299999999999998</v>
      </c>
      <c r="B211" s="8">
        <v>3.1503415999999998E-3</v>
      </c>
      <c r="C211" s="8">
        <v>2.6359463999999998E-3</v>
      </c>
      <c r="D211" s="8">
        <f t="shared" si="9"/>
        <v>3.1503415999999996E-4</v>
      </c>
      <c r="E211" s="9">
        <f t="shared" si="10"/>
        <v>0.83671764357236689</v>
      </c>
      <c r="F211" s="10">
        <f t="shared" si="11"/>
        <v>315.03415999999999</v>
      </c>
    </row>
    <row r="212" spans="1:6" x14ac:dyDescent="0.3">
      <c r="A212" s="7">
        <v>2.04</v>
      </c>
      <c r="B212" s="8">
        <v>3.1766961000000002E-3</v>
      </c>
      <c r="C212" s="8">
        <v>2.6349602000000001E-3</v>
      </c>
      <c r="D212" s="8">
        <f t="shared" si="9"/>
        <v>3.1766961000000003E-4</v>
      </c>
      <c r="E212" s="9">
        <f t="shared" si="10"/>
        <v>0.82946561995653278</v>
      </c>
      <c r="F212" s="10">
        <f t="shared" si="11"/>
        <v>317.66961000000003</v>
      </c>
    </row>
    <row r="213" spans="1:6" x14ac:dyDescent="0.3">
      <c r="A213" s="7">
        <v>2.0499999999999998</v>
      </c>
      <c r="B213" s="8">
        <v>3.2030404E-3</v>
      </c>
      <c r="C213" s="8">
        <v>2.6338919000000001E-3</v>
      </c>
      <c r="D213" s="8">
        <f t="shared" si="9"/>
        <v>3.2030403999999999E-4</v>
      </c>
      <c r="E213" s="9">
        <f t="shared" si="10"/>
        <v>0.82230992153580085</v>
      </c>
      <c r="F213" s="10">
        <f t="shared" si="11"/>
        <v>320.30403999999999</v>
      </c>
    </row>
    <row r="214" spans="1:6" x14ac:dyDescent="0.3">
      <c r="A214" s="7">
        <v>2.06</v>
      </c>
      <c r="B214" s="8">
        <v>3.2293736E-3</v>
      </c>
      <c r="C214" s="8">
        <v>2.6327432E-3</v>
      </c>
      <c r="D214" s="8">
        <f t="shared" si="9"/>
        <v>3.2293736E-4</v>
      </c>
      <c r="E214" s="9">
        <f t="shared" si="10"/>
        <v>0.81524887674810986</v>
      </c>
      <c r="F214" s="10">
        <f t="shared" si="11"/>
        <v>322.93736000000001</v>
      </c>
    </row>
    <row r="215" spans="1:6" x14ac:dyDescent="0.3">
      <c r="A215" s="7">
        <v>2.0699999999999998</v>
      </c>
      <c r="B215" s="8">
        <v>3.2556947999999998E-3</v>
      </c>
      <c r="C215" s="8">
        <v>2.6315154999999998E-3</v>
      </c>
      <c r="D215" s="8">
        <f t="shared" si="9"/>
        <v>3.2556947999999998E-4</v>
      </c>
      <c r="E215" s="9">
        <f t="shared" si="10"/>
        <v>0.80828077005252452</v>
      </c>
      <c r="F215" s="10">
        <f t="shared" si="11"/>
        <v>325.56948</v>
      </c>
    </row>
    <row r="216" spans="1:6" x14ac:dyDescent="0.3">
      <c r="A216" s="7">
        <v>2.08</v>
      </c>
      <c r="B216" s="8">
        <v>3.2820035000000001E-3</v>
      </c>
      <c r="C216" s="8">
        <v>2.6302105000000002E-3</v>
      </c>
      <c r="D216" s="8">
        <f t="shared" si="9"/>
        <v>3.2820035000000002E-4</v>
      </c>
      <c r="E216" s="9">
        <f t="shared" si="10"/>
        <v>0.80140392903298252</v>
      </c>
      <c r="F216" s="10">
        <f t="shared" si="11"/>
        <v>328.20035000000001</v>
      </c>
    </row>
    <row r="217" spans="1:6" x14ac:dyDescent="0.3">
      <c r="A217" s="7">
        <v>2.09</v>
      </c>
      <c r="B217" s="8">
        <v>3.3082987000000001E-3</v>
      </c>
      <c r="C217" s="8">
        <v>2.6288295999999998E-3</v>
      </c>
      <c r="D217" s="8">
        <f t="shared" si="9"/>
        <v>3.3082987000000003E-4</v>
      </c>
      <c r="E217" s="9">
        <f t="shared" si="10"/>
        <v>0.79461676178151619</v>
      </c>
      <c r="F217" s="10">
        <f t="shared" si="11"/>
        <v>330.82987000000003</v>
      </c>
    </row>
    <row r="218" spans="1:6" x14ac:dyDescent="0.3">
      <c r="A218" s="7">
        <v>2.1</v>
      </c>
      <c r="B218" s="8">
        <v>3.3345797000000001E-3</v>
      </c>
      <c r="C218" s="8">
        <v>2.6273743000000001E-3</v>
      </c>
      <c r="D218" s="8">
        <f t="shared" si="9"/>
        <v>3.3345797000000003E-4</v>
      </c>
      <c r="E218" s="9">
        <f t="shared" si="10"/>
        <v>0.78791767970038329</v>
      </c>
      <c r="F218" s="10">
        <f t="shared" si="11"/>
        <v>333.45797000000005</v>
      </c>
    </row>
    <row r="219" spans="1:6" x14ac:dyDescent="0.3">
      <c r="A219" s="7">
        <v>2.11</v>
      </c>
      <c r="B219" s="8">
        <v>3.3608458000000002E-3</v>
      </c>
      <c r="C219" s="8">
        <v>2.6258460999999999E-3</v>
      </c>
      <c r="D219" s="8">
        <f t="shared" si="9"/>
        <v>3.3608458000000002E-4</v>
      </c>
      <c r="E219" s="9">
        <f t="shared" si="10"/>
        <v>0.78130514050957045</v>
      </c>
      <c r="F219" s="10">
        <f t="shared" si="11"/>
        <v>336.08458000000002</v>
      </c>
    </row>
    <row r="220" spans="1:6" x14ac:dyDescent="0.3">
      <c r="A220" s="7">
        <v>2.12</v>
      </c>
      <c r="B220" s="8">
        <v>3.3870963000000001E-3</v>
      </c>
      <c r="C220" s="8">
        <v>2.6242465E-3</v>
      </c>
      <c r="D220" s="8">
        <f t="shared" si="9"/>
        <v>3.3870963E-4</v>
      </c>
      <c r="E220" s="9">
        <f t="shared" si="10"/>
        <v>0.77477764656410852</v>
      </c>
      <c r="F220" s="10">
        <f t="shared" si="11"/>
        <v>338.70963</v>
      </c>
    </row>
    <row r="221" spans="1:6" x14ac:dyDescent="0.3">
      <c r="A221" s="7">
        <v>2.13</v>
      </c>
      <c r="B221" s="8">
        <v>3.4133304000000001E-3</v>
      </c>
      <c r="C221" s="8">
        <v>2.6225768E-3</v>
      </c>
      <c r="D221" s="8">
        <f t="shared" si="9"/>
        <v>3.4133304000000004E-4</v>
      </c>
      <c r="E221" s="9">
        <f t="shared" si="10"/>
        <v>0.76833370716177951</v>
      </c>
      <c r="F221" s="10">
        <f t="shared" si="11"/>
        <v>341.33304000000004</v>
      </c>
    </row>
    <row r="222" spans="1:6" x14ac:dyDescent="0.3">
      <c r="A222" s="7">
        <v>2.14</v>
      </c>
      <c r="B222" s="8">
        <v>3.4395475E-3</v>
      </c>
      <c r="C222" s="8">
        <v>2.6208384E-3</v>
      </c>
      <c r="D222" s="8">
        <f t="shared" si="9"/>
        <v>3.4395474999999998E-4</v>
      </c>
      <c r="E222" s="9">
        <f t="shared" si="10"/>
        <v>0.7619718582168149</v>
      </c>
      <c r="F222" s="10">
        <f t="shared" si="11"/>
        <v>343.95474999999999</v>
      </c>
    </row>
    <row r="223" spans="1:6" x14ac:dyDescent="0.3">
      <c r="A223" s="7">
        <v>2.15</v>
      </c>
      <c r="B223" s="8">
        <v>3.4657467999999999E-3</v>
      </c>
      <c r="C223" s="8">
        <v>2.6190328000000001E-3</v>
      </c>
      <c r="D223" s="8">
        <f t="shared" si="9"/>
        <v>3.4657467999999999E-4</v>
      </c>
      <c r="E223" s="9">
        <f t="shared" si="10"/>
        <v>0.75569075040334743</v>
      </c>
      <c r="F223" s="10">
        <f t="shared" si="11"/>
        <v>346.57468</v>
      </c>
    </row>
    <row r="224" spans="1:6" x14ac:dyDescent="0.3">
      <c r="A224" s="7">
        <v>2.16</v>
      </c>
      <c r="B224" s="8">
        <v>3.4919278E-3</v>
      </c>
      <c r="C224" s="8">
        <v>2.6171612999999999E-3</v>
      </c>
      <c r="D224" s="8">
        <f t="shared" si="9"/>
        <v>3.4919277999999999E-4</v>
      </c>
      <c r="E224" s="9">
        <f t="shared" si="10"/>
        <v>0.74948894991471471</v>
      </c>
      <c r="F224" s="10">
        <f t="shared" si="11"/>
        <v>349.19277999999997</v>
      </c>
    </row>
    <row r="225" spans="1:6" x14ac:dyDescent="0.3">
      <c r="A225" s="7">
        <v>2.17</v>
      </c>
      <c r="B225" s="8">
        <v>3.5180897000000001E-3</v>
      </c>
      <c r="C225" s="8">
        <v>2.6152251000000001E-3</v>
      </c>
      <c r="D225" s="8">
        <f t="shared" si="9"/>
        <v>3.5180897000000003E-4</v>
      </c>
      <c r="E225" s="9">
        <f t="shared" si="10"/>
        <v>0.74336509953114616</v>
      </c>
      <c r="F225" s="10">
        <f t="shared" si="11"/>
        <v>351.80897000000004</v>
      </c>
    </row>
    <row r="226" spans="1:6" x14ac:dyDescent="0.3">
      <c r="A226" s="7">
        <v>2.1800000000000002</v>
      </c>
      <c r="B226" s="8">
        <v>3.544232E-3</v>
      </c>
      <c r="C226" s="8">
        <v>2.6132256E-3</v>
      </c>
      <c r="D226" s="8">
        <f t="shared" si="9"/>
        <v>3.5442319999999999E-4</v>
      </c>
      <c r="E226" s="9">
        <f t="shared" si="10"/>
        <v>0.73731787309634356</v>
      </c>
      <c r="F226" s="10">
        <f t="shared" si="11"/>
        <v>354.42320000000001</v>
      </c>
    </row>
    <row r="227" spans="1:6" x14ac:dyDescent="0.3">
      <c r="A227" s="7">
        <v>2.19</v>
      </c>
      <c r="B227" s="8">
        <v>3.5703538999999999E-3</v>
      </c>
      <c r="C227" s="8">
        <v>2.6111642000000001E-3</v>
      </c>
      <c r="D227" s="8">
        <f t="shared" si="9"/>
        <v>3.5703538999999997E-4</v>
      </c>
      <c r="E227" s="9">
        <f t="shared" si="10"/>
        <v>0.7313460438753705</v>
      </c>
      <c r="F227" s="10">
        <f t="shared" si="11"/>
        <v>357.03538999999995</v>
      </c>
    </row>
    <row r="228" spans="1:6" x14ac:dyDescent="0.3">
      <c r="A228" s="7">
        <v>2.2000000000000002</v>
      </c>
      <c r="B228" s="8">
        <v>3.5964549000000001E-3</v>
      </c>
      <c r="C228" s="8">
        <v>2.6090419000000002E-3</v>
      </c>
      <c r="D228" s="8">
        <f t="shared" si="9"/>
        <v>3.5964549000000001E-4</v>
      </c>
      <c r="E228" s="9">
        <f t="shared" si="10"/>
        <v>0.72544824627162707</v>
      </c>
      <c r="F228" s="10">
        <f t="shared" si="11"/>
        <v>359.64549</v>
      </c>
    </row>
    <row r="229" spans="1:6" x14ac:dyDescent="0.3">
      <c r="A229" s="7">
        <v>2.21</v>
      </c>
      <c r="B229" s="8">
        <v>3.6225344999999999E-3</v>
      </c>
      <c r="C229" s="8">
        <v>2.6068602E-3</v>
      </c>
      <c r="D229" s="8">
        <f t="shared" si="9"/>
        <v>3.6225344999999998E-4</v>
      </c>
      <c r="E229" s="9">
        <f t="shared" si="10"/>
        <v>0.71962329137238035</v>
      </c>
      <c r="F229" s="10">
        <f t="shared" si="11"/>
        <v>362.25344999999999</v>
      </c>
    </row>
    <row r="230" spans="1:6" x14ac:dyDescent="0.3">
      <c r="A230" s="7">
        <v>2.2200000000000002</v>
      </c>
      <c r="B230" s="8">
        <v>3.6485918999999999E-3</v>
      </c>
      <c r="C230" s="8">
        <v>2.6046201999999998E-3</v>
      </c>
      <c r="D230" s="8">
        <f t="shared" si="9"/>
        <v>3.6485918999999998E-4</v>
      </c>
      <c r="E230" s="9">
        <f t="shared" si="10"/>
        <v>0.71386997268727148</v>
      </c>
      <c r="F230" s="10">
        <f t="shared" si="11"/>
        <v>364.85918999999996</v>
      </c>
    </row>
    <row r="231" spans="1:6" x14ac:dyDescent="0.3">
      <c r="A231" s="7">
        <v>2.23</v>
      </c>
      <c r="B231" s="8">
        <v>3.6746266000000001E-3</v>
      </c>
      <c r="C231" s="8">
        <v>2.6023231000000002E-3</v>
      </c>
      <c r="D231" s="8">
        <f t="shared" si="9"/>
        <v>3.6746266000000001E-4</v>
      </c>
      <c r="E231" s="9">
        <f t="shared" si="10"/>
        <v>0.70818708491360727</v>
      </c>
      <c r="F231" s="10">
        <f t="shared" si="11"/>
        <v>367.46266000000003</v>
      </c>
    </row>
    <row r="232" spans="1:6" x14ac:dyDescent="0.3">
      <c r="A232" s="7">
        <v>2.2400000000000002</v>
      </c>
      <c r="B232" s="8">
        <v>3.700638E-3</v>
      </c>
      <c r="C232" s="8">
        <v>2.5999700000000001E-3</v>
      </c>
      <c r="D232" s="8">
        <f t="shared" si="9"/>
        <v>3.7006380000000001E-4</v>
      </c>
      <c r="E232" s="9">
        <f t="shared" si="10"/>
        <v>0.70257344814596834</v>
      </c>
      <c r="F232" s="10">
        <f t="shared" si="11"/>
        <v>370.06380000000001</v>
      </c>
    </row>
    <row r="233" spans="1:6" x14ac:dyDescent="0.3">
      <c r="A233" s="7">
        <v>2.25</v>
      </c>
      <c r="B233" s="8">
        <v>3.7266257000000001E-3</v>
      </c>
      <c r="C233" s="8">
        <v>2.5975621999999999E-3</v>
      </c>
      <c r="D233" s="8">
        <f t="shared" si="9"/>
        <v>3.7266257E-4</v>
      </c>
      <c r="E233" s="9">
        <f t="shared" si="10"/>
        <v>0.69702793065587454</v>
      </c>
      <c r="F233" s="10">
        <f t="shared" si="11"/>
        <v>372.66257000000002</v>
      </c>
    </row>
    <row r="234" spans="1:6" x14ac:dyDescent="0.3">
      <c r="A234" s="7">
        <v>2.2599999999999998</v>
      </c>
      <c r="B234" s="8">
        <v>3.7525890000000002E-3</v>
      </c>
      <c r="C234" s="8">
        <v>2.5951008000000002E-3</v>
      </c>
      <c r="D234" s="8">
        <f t="shared" si="9"/>
        <v>3.7525890000000004E-4</v>
      </c>
      <c r="E234" s="9">
        <f t="shared" si="10"/>
        <v>0.69154943427057958</v>
      </c>
      <c r="F234" s="10">
        <f t="shared" si="11"/>
        <v>375.25890000000004</v>
      </c>
    </row>
    <row r="235" spans="1:6" x14ac:dyDescent="0.3">
      <c r="A235" s="7">
        <v>2.27</v>
      </c>
      <c r="B235" s="8">
        <v>3.7785275E-3</v>
      </c>
      <c r="C235" s="8">
        <v>2.5925867999999999E-3</v>
      </c>
      <c r="D235" s="8">
        <f t="shared" si="9"/>
        <v>3.7785275000000001E-4</v>
      </c>
      <c r="E235" s="9">
        <f t="shared" si="10"/>
        <v>0.68613680858482562</v>
      </c>
      <c r="F235" s="10">
        <f t="shared" si="11"/>
        <v>377.85275000000001</v>
      </c>
    </row>
    <row r="236" spans="1:6" x14ac:dyDescent="0.3">
      <c r="A236" s="7">
        <v>2.2799999999999998</v>
      </c>
      <c r="B236" s="8">
        <v>3.8044404999999998E-3</v>
      </c>
      <c r="C236" s="8">
        <v>2.5900214999999998E-3</v>
      </c>
      <c r="D236" s="8">
        <f t="shared" si="9"/>
        <v>3.8044404999999998E-4</v>
      </c>
      <c r="E236" s="9">
        <f t="shared" si="10"/>
        <v>0.68078906740688938</v>
      </c>
      <c r="F236" s="10">
        <f t="shared" si="11"/>
        <v>380.44405</v>
      </c>
    </row>
    <row r="237" spans="1:6" x14ac:dyDescent="0.3">
      <c r="A237" s="7">
        <v>2.29</v>
      </c>
      <c r="B237" s="8">
        <v>3.8303275999999999E-3</v>
      </c>
      <c r="C237" s="8">
        <v>2.5874057999999999E-3</v>
      </c>
      <c r="D237" s="8">
        <f t="shared" si="9"/>
        <v>3.8303276E-4</v>
      </c>
      <c r="E237" s="9">
        <f t="shared" si="10"/>
        <v>0.67550509256701696</v>
      </c>
      <c r="F237" s="10">
        <f t="shared" si="11"/>
        <v>383.03276</v>
      </c>
    </row>
    <row r="238" spans="1:6" x14ac:dyDescent="0.3">
      <c r="A238" s="7">
        <v>2.2999999999999998</v>
      </c>
      <c r="B238" s="8">
        <v>3.8561884000000001E-3</v>
      </c>
      <c r="C238" s="8">
        <v>2.5847409000000002E-3</v>
      </c>
      <c r="D238" s="8">
        <f t="shared" si="9"/>
        <v>3.8561884000000001E-4</v>
      </c>
      <c r="E238" s="9">
        <f t="shared" si="10"/>
        <v>0.67028387409702284</v>
      </c>
      <c r="F238" s="10">
        <f t="shared" si="11"/>
        <v>385.61884000000003</v>
      </c>
    </row>
    <row r="239" spans="1:6" x14ac:dyDescent="0.3">
      <c r="A239" s="7">
        <v>2.31</v>
      </c>
      <c r="B239" s="8">
        <v>3.8820221999999998E-3</v>
      </c>
      <c r="C239" s="8">
        <v>2.5820277E-3</v>
      </c>
      <c r="D239" s="8">
        <f t="shared" si="9"/>
        <v>3.8820221999999997E-4</v>
      </c>
      <c r="E239" s="9">
        <f t="shared" si="10"/>
        <v>0.66512440346168045</v>
      </c>
      <c r="F239" s="10">
        <f t="shared" si="11"/>
        <v>388.20221999999995</v>
      </c>
    </row>
    <row r="240" spans="1:6" x14ac:dyDescent="0.3">
      <c r="A240" s="7">
        <v>2.3199999999999998</v>
      </c>
      <c r="B240" s="8">
        <v>3.9078287000000001E-3</v>
      </c>
      <c r="C240" s="8">
        <v>2.5792673000000002E-3</v>
      </c>
      <c r="D240" s="8">
        <f t="shared" si="9"/>
        <v>3.9078286999999999E-4</v>
      </c>
      <c r="E240" s="9">
        <f t="shared" si="10"/>
        <v>0.66002568126898709</v>
      </c>
      <c r="F240" s="10">
        <f t="shared" si="11"/>
        <v>390.78287</v>
      </c>
    </row>
    <row r="241" spans="1:6" x14ac:dyDescent="0.3">
      <c r="A241" s="7">
        <v>2.33</v>
      </c>
      <c r="B241" s="8">
        <v>3.9336073000000001E-3</v>
      </c>
      <c r="C241" s="8">
        <v>2.5764606999999998E-3</v>
      </c>
      <c r="D241" s="8">
        <f t="shared" si="9"/>
        <v>3.9336073E-4</v>
      </c>
      <c r="E241" s="9">
        <f t="shared" si="10"/>
        <v>0.65498675986288712</v>
      </c>
      <c r="F241" s="10">
        <f t="shared" si="11"/>
        <v>393.36072999999999</v>
      </c>
    </row>
    <row r="242" spans="1:6" x14ac:dyDescent="0.3">
      <c r="A242" s="7">
        <v>2.34</v>
      </c>
      <c r="B242" s="8">
        <v>3.9593577E-3</v>
      </c>
      <c r="C242" s="8">
        <v>2.5736089000000001E-3</v>
      </c>
      <c r="D242" s="8">
        <f t="shared" si="9"/>
        <v>3.9593577E-4</v>
      </c>
      <c r="E242" s="9">
        <f t="shared" si="10"/>
        <v>0.65000666648532412</v>
      </c>
      <c r="F242" s="10">
        <f t="shared" si="11"/>
        <v>395.93576999999999</v>
      </c>
    </row>
    <row r="243" spans="1:6" x14ac:dyDescent="0.3">
      <c r="A243" s="7">
        <v>2.35</v>
      </c>
      <c r="B243" s="8">
        <v>3.9850793000000004E-3</v>
      </c>
      <c r="C243" s="8">
        <v>2.5707128E-3</v>
      </c>
      <c r="D243" s="8">
        <f t="shared" si="9"/>
        <v>3.9850793000000006E-4</v>
      </c>
      <c r="E243" s="9">
        <f t="shared" si="10"/>
        <v>0.6450844779926963</v>
      </c>
      <c r="F243" s="10">
        <f t="shared" si="11"/>
        <v>398.50793000000004</v>
      </c>
    </row>
    <row r="244" spans="1:6" x14ac:dyDescent="0.3">
      <c r="A244" s="7">
        <v>2.36</v>
      </c>
      <c r="B244" s="8">
        <v>4.0107716999999996E-3</v>
      </c>
      <c r="C244" s="8">
        <v>2.5677733999999999E-3</v>
      </c>
      <c r="D244" s="8">
        <f t="shared" si="9"/>
        <v>4.0107716999999998E-4</v>
      </c>
      <c r="E244" s="9">
        <f t="shared" si="10"/>
        <v>0.64021928747527568</v>
      </c>
      <c r="F244" s="10">
        <f t="shared" si="11"/>
        <v>401.07716999999997</v>
      </c>
    </row>
    <row r="245" spans="1:6" x14ac:dyDescent="0.3">
      <c r="A245" s="7">
        <v>2.37</v>
      </c>
      <c r="B245" s="8">
        <v>4.0364344999999999E-3</v>
      </c>
      <c r="C245" s="8">
        <v>2.5647917000000001E-3</v>
      </c>
      <c r="D245" s="8">
        <f t="shared" si="9"/>
        <v>4.0364345000000002E-4</v>
      </c>
      <c r="E245" s="9">
        <f t="shared" si="10"/>
        <v>0.63541021166081113</v>
      </c>
      <c r="F245" s="10">
        <f t="shared" si="11"/>
        <v>403.64345000000003</v>
      </c>
    </row>
    <row r="246" spans="1:6" x14ac:dyDescent="0.3">
      <c r="A246" s="7">
        <v>2.38</v>
      </c>
      <c r="B246" s="8">
        <v>4.0620672999999996E-3</v>
      </c>
      <c r="C246" s="8">
        <v>2.5617685E-3</v>
      </c>
      <c r="D246" s="8">
        <f t="shared" si="9"/>
        <v>4.0620672999999995E-4</v>
      </c>
      <c r="E246" s="9">
        <f t="shared" si="10"/>
        <v>0.63065634092276124</v>
      </c>
      <c r="F246" s="10">
        <f t="shared" si="11"/>
        <v>406.20672999999994</v>
      </c>
    </row>
    <row r="247" spans="1:6" x14ac:dyDescent="0.3">
      <c r="A247" s="7">
        <v>2.39</v>
      </c>
      <c r="B247" s="8">
        <v>4.0876697000000002E-3</v>
      </c>
      <c r="C247" s="8">
        <v>2.5587047E-3</v>
      </c>
      <c r="D247" s="8">
        <f t="shared" si="9"/>
        <v>4.0876697E-4</v>
      </c>
      <c r="E247" s="9">
        <f t="shared" si="10"/>
        <v>0.62595681348715626</v>
      </c>
      <c r="F247" s="10">
        <f t="shared" si="11"/>
        <v>408.76697000000001</v>
      </c>
    </row>
    <row r="248" spans="1:6" x14ac:dyDescent="0.3">
      <c r="A248" s="7">
        <v>2.4</v>
      </c>
      <c r="B248" s="8">
        <v>4.1132412000000002E-3</v>
      </c>
      <c r="C248" s="8">
        <v>2.5556012999999999E-3</v>
      </c>
      <c r="D248" s="8">
        <f t="shared" si="9"/>
        <v>4.1132412000000003E-4</v>
      </c>
      <c r="E248" s="9">
        <f t="shared" si="10"/>
        <v>0.62131082903672163</v>
      </c>
      <c r="F248" s="10">
        <f t="shared" si="11"/>
        <v>411.32412000000005</v>
      </c>
    </row>
    <row r="249" spans="1:6" x14ac:dyDescent="0.3">
      <c r="A249" s="7">
        <v>2.41</v>
      </c>
      <c r="B249" s="8">
        <v>4.1387815E-3</v>
      </c>
      <c r="C249" s="8">
        <v>2.552459E-3</v>
      </c>
      <c r="D249" s="8">
        <f t="shared" si="9"/>
        <v>4.1387815000000001E-4</v>
      </c>
      <c r="E249" s="9">
        <f t="shared" si="10"/>
        <v>0.61671750489848276</v>
      </c>
      <c r="F249" s="10">
        <f t="shared" si="11"/>
        <v>413.87815000000001</v>
      </c>
    </row>
    <row r="250" spans="1:6" x14ac:dyDescent="0.3">
      <c r="A250" s="7">
        <v>2.42</v>
      </c>
      <c r="B250" s="8">
        <v>4.1642902000000002E-3</v>
      </c>
      <c r="C250" s="8">
        <v>2.5492788000000001E-3</v>
      </c>
      <c r="D250" s="8">
        <f t="shared" si="9"/>
        <v>4.1642902000000004E-4</v>
      </c>
      <c r="E250" s="9">
        <f t="shared" si="10"/>
        <v>0.61217606784464729</v>
      </c>
      <c r="F250" s="10">
        <f t="shared" si="11"/>
        <v>416.42902000000004</v>
      </c>
    </row>
    <row r="251" spans="1:6" x14ac:dyDescent="0.3">
      <c r="A251" s="7">
        <v>2.4300000000000002</v>
      </c>
      <c r="B251" s="8">
        <v>4.1897669E-3</v>
      </c>
      <c r="C251" s="8">
        <v>2.5460614999999998E-3</v>
      </c>
      <c r="D251" s="8">
        <f t="shared" si="9"/>
        <v>4.1897669E-4</v>
      </c>
      <c r="E251" s="9">
        <f t="shared" si="10"/>
        <v>0.60768571635811042</v>
      </c>
      <c r="F251" s="10">
        <f t="shared" si="11"/>
        <v>418.97669000000002</v>
      </c>
    </row>
    <row r="252" spans="1:6" x14ac:dyDescent="0.3">
      <c r="A252" s="7">
        <v>2.44</v>
      </c>
      <c r="B252" s="8">
        <v>4.2152112999999996E-3</v>
      </c>
      <c r="C252" s="8">
        <v>2.5428079000000001E-3</v>
      </c>
      <c r="D252" s="8">
        <f t="shared" si="9"/>
        <v>4.2152112999999997E-4</v>
      </c>
      <c r="E252" s="9">
        <f t="shared" si="10"/>
        <v>0.60324565461285429</v>
      </c>
      <c r="F252" s="10">
        <f t="shared" si="11"/>
        <v>421.52112999999997</v>
      </c>
    </row>
    <row r="253" spans="1:6" x14ac:dyDescent="0.3">
      <c r="A253" s="7">
        <v>2.4500000000000002</v>
      </c>
      <c r="B253" s="8">
        <v>4.2406229000000002E-3</v>
      </c>
      <c r="C253" s="8">
        <v>2.5395187E-3</v>
      </c>
      <c r="D253" s="8">
        <f t="shared" si="9"/>
        <v>4.2406229000000004E-4</v>
      </c>
      <c r="E253" s="9">
        <f t="shared" si="10"/>
        <v>0.59885511159221438</v>
      </c>
      <c r="F253" s="10">
        <f t="shared" si="11"/>
        <v>424.06229000000002</v>
      </c>
    </row>
    <row r="254" spans="1:6" x14ac:dyDescent="0.3">
      <c r="A254" s="7">
        <v>2.46</v>
      </c>
      <c r="B254" s="8">
        <v>4.2660014999999999E-3</v>
      </c>
      <c r="C254" s="8">
        <v>2.5361949000000002E-3</v>
      </c>
      <c r="D254" s="8">
        <f t="shared" si="9"/>
        <v>4.2660015000000001E-4</v>
      </c>
      <c r="E254" s="9">
        <f t="shared" si="10"/>
        <v>0.59451336339192573</v>
      </c>
      <c r="F254" s="10">
        <f t="shared" si="11"/>
        <v>426.60014999999999</v>
      </c>
    </row>
    <row r="255" spans="1:6" x14ac:dyDescent="0.3">
      <c r="A255" s="7">
        <v>2.4700000000000002</v>
      </c>
      <c r="B255" s="8">
        <v>4.2913465999999999E-3</v>
      </c>
      <c r="C255" s="8">
        <v>2.5328371000000001E-3</v>
      </c>
      <c r="D255" s="8">
        <f t="shared" si="9"/>
        <v>4.2913465999999998E-4</v>
      </c>
      <c r="E255" s="9">
        <f t="shared" si="10"/>
        <v>0.5902196527309167</v>
      </c>
      <c r="F255" s="10">
        <f t="shared" si="11"/>
        <v>429.13466</v>
      </c>
    </row>
    <row r="256" spans="1:6" x14ac:dyDescent="0.3">
      <c r="A256" s="7">
        <v>2.48</v>
      </c>
      <c r="B256" s="8">
        <v>4.3166580000000001E-3</v>
      </c>
      <c r="C256" s="8">
        <v>2.5294460999999999E-3</v>
      </c>
      <c r="D256" s="8">
        <f t="shared" si="9"/>
        <v>4.3166580000000002E-4</v>
      </c>
      <c r="E256" s="9">
        <f t="shared" si="10"/>
        <v>0.58597324596945133</v>
      </c>
      <c r="F256" s="10">
        <f t="shared" si="11"/>
        <v>431.66580000000005</v>
      </c>
    </row>
    <row r="257" spans="1:6" x14ac:dyDescent="0.3">
      <c r="A257" s="7">
        <v>2.4900000000000002</v>
      </c>
      <c r="B257" s="8">
        <v>4.3419354E-3</v>
      </c>
      <c r="C257" s="8">
        <v>2.5256750999999998E-3</v>
      </c>
      <c r="D257" s="8">
        <f t="shared" si="9"/>
        <v>4.3419353999999999E-4</v>
      </c>
      <c r="E257" s="9">
        <f t="shared" si="10"/>
        <v>0.58169338493612777</v>
      </c>
      <c r="F257" s="10">
        <f t="shared" si="11"/>
        <v>434.19353999999998</v>
      </c>
    </row>
    <row r="258" spans="1:6" x14ac:dyDescent="0.3">
      <c r="A258" s="7">
        <v>2.5</v>
      </c>
      <c r="B258" s="8">
        <v>4.3671782999999999E-3</v>
      </c>
      <c r="C258" s="8">
        <v>2.5236051E-3</v>
      </c>
      <c r="D258" s="8">
        <f t="shared" si="9"/>
        <v>4.3671782999999998E-4</v>
      </c>
      <c r="E258" s="9">
        <f t="shared" si="10"/>
        <v>0.5778571257326498</v>
      </c>
      <c r="F258" s="10">
        <f t="shared" si="11"/>
        <v>436.71782999999999</v>
      </c>
    </row>
  </sheetData>
  <mergeCells count="2">
    <mergeCell ref="A1:F1"/>
    <mergeCell ref="A5:F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8"/>
  <sheetViews>
    <sheetView showGridLines="0" zoomScaleNormal="100" workbookViewId="0">
      <pane ySplit="7" topLeftCell="A182" activePane="bottomLeft" state="frozen"/>
      <selection pane="bottomLeft" activeCell="C6" sqref="C6"/>
    </sheetView>
  </sheetViews>
  <sheetFormatPr defaultColWidth="8.6640625" defaultRowHeight="14.4" x14ac:dyDescent="0.3"/>
  <cols>
    <col min="1" max="1" width="22" customWidth="1"/>
    <col min="2" max="4" width="18" customWidth="1"/>
    <col min="5" max="5" width="16" customWidth="1"/>
    <col min="6" max="6" width="18" customWidth="1"/>
  </cols>
  <sheetData>
    <row r="1" spans="1:6" ht="17.399999999999999" x14ac:dyDescent="0.3">
      <c r="A1" s="2" t="s">
        <v>8</v>
      </c>
      <c r="B1" s="2"/>
      <c r="C1" s="2"/>
      <c r="D1" s="2"/>
      <c r="E1" s="2"/>
      <c r="F1" s="2"/>
    </row>
    <row r="3" spans="1:6" x14ac:dyDescent="0.3">
      <c r="A3" s="3" t="s">
        <v>1</v>
      </c>
      <c r="B3" s="4">
        <v>10</v>
      </c>
      <c r="C3" s="5"/>
    </row>
    <row r="5" spans="1:6" x14ac:dyDescent="0.3">
      <c r="A5" s="1"/>
      <c r="B5" s="1"/>
      <c r="C5" s="1"/>
      <c r="D5" s="1"/>
      <c r="E5" s="1"/>
      <c r="F5" s="1"/>
    </row>
    <row r="7" spans="1:6" x14ac:dyDescent="0.3">
      <c r="A7" s="6" t="s">
        <v>2</v>
      </c>
      <c r="B7" s="6" t="s">
        <v>3</v>
      </c>
      <c r="C7" s="6" t="s">
        <v>4</v>
      </c>
      <c r="D7" s="6" t="s">
        <v>5</v>
      </c>
      <c r="E7" s="6" t="s">
        <v>6</v>
      </c>
      <c r="F7" s="6" t="s">
        <v>7</v>
      </c>
    </row>
    <row r="8" spans="1:6" x14ac:dyDescent="0.3">
      <c r="A8" s="7">
        <v>0</v>
      </c>
      <c r="B8" s="8">
        <f>ABS(0.0014266906)</f>
        <v>1.4266906E-3</v>
      </c>
      <c r="C8" s="8">
        <f>ABS(-0.0010931992)</f>
        <v>1.0931992000000001E-3</v>
      </c>
      <c r="D8" s="8">
        <f t="shared" ref="D8:D71" si="0">B8/$B$3</f>
        <v>1.4266906E-4</v>
      </c>
      <c r="E8" s="9">
        <f t="shared" ref="E8:E71" si="1">IFERROR(C8/B8,"")</f>
        <v>0.76624826714355587</v>
      </c>
      <c r="F8" s="10">
        <f t="shared" ref="F8:F71" si="2">D8*1000000</f>
        <v>142.66906</v>
      </c>
    </row>
    <row r="9" spans="1:6" x14ac:dyDescent="0.3">
      <c r="A9" s="7">
        <v>0.01</v>
      </c>
      <c r="B9" s="8">
        <f>ABS(0.0014157622)</f>
        <v>1.4157621999999999E-3</v>
      </c>
      <c r="C9" s="8">
        <f>ABS(-0.0010921335)</f>
        <v>1.0921335000000001E-3</v>
      </c>
      <c r="D9" s="8">
        <f t="shared" si="0"/>
        <v>1.4157621999999999E-4</v>
      </c>
      <c r="E9" s="9">
        <f t="shared" si="1"/>
        <v>0.77141026932347823</v>
      </c>
      <c r="F9" s="10">
        <f t="shared" si="2"/>
        <v>141.57621999999998</v>
      </c>
    </row>
    <row r="10" spans="1:6" x14ac:dyDescent="0.3">
      <c r="A10" s="7">
        <v>0.02</v>
      </c>
      <c r="B10" s="8">
        <f>ABS(0.0014048504)</f>
        <v>1.4048503999999999E-3</v>
      </c>
      <c r="C10" s="8">
        <f>ABS(-0.0010903445)</f>
        <v>1.0903445E-3</v>
      </c>
      <c r="D10" s="8">
        <f t="shared" si="0"/>
        <v>1.4048503999999998E-4</v>
      </c>
      <c r="E10" s="9">
        <f t="shared" si="1"/>
        <v>0.77612854721043611</v>
      </c>
      <c r="F10" s="10">
        <f t="shared" si="2"/>
        <v>140.48503999999997</v>
      </c>
    </row>
    <row r="11" spans="1:6" x14ac:dyDescent="0.3">
      <c r="A11" s="7">
        <v>0.03</v>
      </c>
      <c r="B11" s="8">
        <f>ABS(0.0013939554)</f>
        <v>1.3939554E-3</v>
      </c>
      <c r="C11" s="8">
        <f>ABS(-0.0010886442)</f>
        <v>1.0886442E-3</v>
      </c>
      <c r="D11" s="8">
        <f t="shared" si="0"/>
        <v>1.3939554000000001E-4</v>
      </c>
      <c r="E11" s="9">
        <f t="shared" si="1"/>
        <v>0.78097491497934579</v>
      </c>
      <c r="F11" s="10">
        <f t="shared" si="2"/>
        <v>139.39554000000001</v>
      </c>
    </row>
    <row r="12" spans="1:6" x14ac:dyDescent="0.3">
      <c r="A12" s="7">
        <v>0.04</v>
      </c>
      <c r="B12" s="8">
        <f>ABS(0.0013830776)</f>
        <v>1.3830775999999999E-3</v>
      </c>
      <c r="C12" s="8">
        <f>ABS(-0.0010869182)</f>
        <v>1.0869181999999999E-3</v>
      </c>
      <c r="D12" s="8">
        <f t="shared" si="0"/>
        <v>1.3830776E-4</v>
      </c>
      <c r="E12" s="9">
        <f t="shared" si="1"/>
        <v>0.78586928166575765</v>
      </c>
      <c r="F12" s="10">
        <f t="shared" si="2"/>
        <v>138.30776</v>
      </c>
    </row>
    <row r="13" spans="1:6" x14ac:dyDescent="0.3">
      <c r="A13" s="7">
        <v>0.05</v>
      </c>
      <c r="B13" s="8">
        <f>ABS(0.0013722172)</f>
        <v>1.3722172000000001E-3</v>
      </c>
      <c r="C13" s="8">
        <f>ABS(-0.0010851665)</f>
        <v>1.0851665E-3</v>
      </c>
      <c r="D13" s="8">
        <f t="shared" si="0"/>
        <v>1.3722172E-4</v>
      </c>
      <c r="E13" s="9">
        <f t="shared" si="1"/>
        <v>0.79081248945137839</v>
      </c>
      <c r="F13" s="10">
        <f t="shared" si="2"/>
        <v>137.22172</v>
      </c>
    </row>
    <row r="14" spans="1:6" x14ac:dyDescent="0.3">
      <c r="A14" s="7">
        <v>0.06</v>
      </c>
      <c r="B14" s="8">
        <f>ABS(0.0013613744)</f>
        <v>1.3613744E-3</v>
      </c>
      <c r="C14" s="8">
        <f>ABS(-0.0010833891)</f>
        <v>1.0833891E-3</v>
      </c>
      <c r="D14" s="8">
        <f t="shared" si="0"/>
        <v>1.3613743999999999E-4</v>
      </c>
      <c r="E14" s="9">
        <f t="shared" si="1"/>
        <v>0.79580540077733208</v>
      </c>
      <c r="F14" s="10">
        <f t="shared" si="2"/>
        <v>136.13744</v>
      </c>
    </row>
    <row r="15" spans="1:6" x14ac:dyDescent="0.3">
      <c r="A15" s="7">
        <v>7.0000000000000007E-2</v>
      </c>
      <c r="B15" s="8">
        <f>ABS(0.0013505496)</f>
        <v>1.3505495999999999E-3</v>
      </c>
      <c r="C15" s="8">
        <f>ABS(-0.0010815858)</f>
        <v>1.0815858E-3</v>
      </c>
      <c r="D15" s="8">
        <f t="shared" si="0"/>
        <v>1.3505496E-4</v>
      </c>
      <c r="E15" s="9">
        <f t="shared" si="1"/>
        <v>0.80084863229014325</v>
      </c>
      <c r="F15" s="10">
        <f t="shared" si="2"/>
        <v>135.05495999999999</v>
      </c>
    </row>
    <row r="16" spans="1:6" x14ac:dyDescent="0.3">
      <c r="A16" s="7">
        <v>0.08</v>
      </c>
      <c r="B16" s="8">
        <f>ABS(0.0013397428)</f>
        <v>1.3397427999999999E-3</v>
      </c>
      <c r="C16" s="8">
        <f>ABS(-0.0010797567)</f>
        <v>1.0797567000000001E-3</v>
      </c>
      <c r="D16" s="8">
        <f t="shared" si="0"/>
        <v>1.3397427999999999E-4</v>
      </c>
      <c r="E16" s="9">
        <f t="shared" si="1"/>
        <v>0.80594327508235175</v>
      </c>
      <c r="F16" s="10">
        <f t="shared" si="2"/>
        <v>133.97427999999999</v>
      </c>
    </row>
    <row r="17" spans="1:6" x14ac:dyDescent="0.3">
      <c r="A17" s="7">
        <v>0.09</v>
      </c>
      <c r="B17" s="8">
        <f>ABS(0.0013289546)</f>
        <v>1.3289546E-3</v>
      </c>
      <c r="C17" s="8">
        <f>ABS(-0.0010779017)</f>
        <v>1.0779017000000001E-3</v>
      </c>
      <c r="D17" s="8">
        <f t="shared" si="0"/>
        <v>1.3289546000000001E-4</v>
      </c>
      <c r="E17" s="9">
        <f t="shared" si="1"/>
        <v>0.81108993490071069</v>
      </c>
      <c r="F17" s="10">
        <f t="shared" si="2"/>
        <v>132.89546000000001</v>
      </c>
    </row>
    <row r="18" spans="1:6" x14ac:dyDescent="0.3">
      <c r="A18" s="7">
        <v>0.1</v>
      </c>
      <c r="B18" s="8">
        <f>ABS(0.0013181849)</f>
        <v>1.3181848999999999E-3</v>
      </c>
      <c r="C18" s="8">
        <f>ABS(-0.0010760206)</f>
        <v>1.0760206E-3</v>
      </c>
      <c r="D18" s="8">
        <f t="shared" si="0"/>
        <v>1.3181848999999998E-4</v>
      </c>
      <c r="E18" s="9">
        <f t="shared" si="1"/>
        <v>0.81628958122642736</v>
      </c>
      <c r="F18" s="10">
        <f t="shared" si="2"/>
        <v>131.81849</v>
      </c>
    </row>
    <row r="19" spans="1:6" x14ac:dyDescent="0.3">
      <c r="A19" s="7">
        <v>0.11</v>
      </c>
      <c r="B19" s="8">
        <f>ABS(0.0013074343)</f>
        <v>1.3074343E-3</v>
      </c>
      <c r="C19" s="8">
        <f>ABS(-0.0010741134)</f>
        <v>1.0741133999999999E-3</v>
      </c>
      <c r="D19" s="8">
        <f t="shared" si="0"/>
        <v>1.3074342999999999E-4</v>
      </c>
      <c r="E19" s="9">
        <f t="shared" si="1"/>
        <v>0.82154292571336085</v>
      </c>
      <c r="F19" s="10">
        <f t="shared" si="2"/>
        <v>130.74342999999999</v>
      </c>
    </row>
    <row r="20" spans="1:6" x14ac:dyDescent="0.3">
      <c r="A20" s="7">
        <v>0.12</v>
      </c>
      <c r="B20" s="8">
        <f>ABS(0.0012967028)</f>
        <v>1.2967027999999999E-3</v>
      </c>
      <c r="C20" s="8">
        <f>ABS(-0.00107218)</f>
        <v>1.0721800000000001E-3</v>
      </c>
      <c r="D20" s="8">
        <f t="shared" si="0"/>
        <v>1.2967027999999999E-4</v>
      </c>
      <c r="E20" s="9">
        <f t="shared" si="1"/>
        <v>0.82685099469207601</v>
      </c>
      <c r="F20" s="10">
        <f t="shared" si="2"/>
        <v>129.67027999999999</v>
      </c>
    </row>
    <row r="21" spans="1:6" x14ac:dyDescent="0.3">
      <c r="A21" s="7">
        <v>0.13</v>
      </c>
      <c r="B21" s="8">
        <f>ABS(0.0012859908)</f>
        <v>1.2859907999999999E-3</v>
      </c>
      <c r="C21" s="8">
        <f>ABS(-0.0010702204)</f>
        <v>1.0702203999999999E-3</v>
      </c>
      <c r="D21" s="8">
        <f t="shared" si="0"/>
        <v>1.2859908E-4</v>
      </c>
      <c r="E21" s="9">
        <f t="shared" si="1"/>
        <v>0.83221466281096257</v>
      </c>
      <c r="F21" s="10">
        <f t="shared" si="2"/>
        <v>128.59907999999999</v>
      </c>
    </row>
    <row r="22" spans="1:6" x14ac:dyDescent="0.3">
      <c r="A22" s="7">
        <v>0.14000000000000001</v>
      </c>
      <c r="B22" s="8">
        <f>ABS(0.0012752985)</f>
        <v>1.2752985E-3</v>
      </c>
      <c r="C22" s="8">
        <f>ABS(-0.0010682344)</f>
        <v>1.0682344000000001E-3</v>
      </c>
      <c r="D22" s="8">
        <f t="shared" si="0"/>
        <v>1.2752985E-4</v>
      </c>
      <c r="E22" s="9">
        <f t="shared" si="1"/>
        <v>0.83763479687304587</v>
      </c>
      <c r="F22" s="10">
        <f t="shared" si="2"/>
        <v>127.52985</v>
      </c>
    </row>
    <row r="23" spans="1:6" x14ac:dyDescent="0.3">
      <c r="A23" s="7">
        <v>0.15</v>
      </c>
      <c r="B23" s="8">
        <f>ABS(0.0012646262)</f>
        <v>1.2646262000000001E-3</v>
      </c>
      <c r="C23" s="8">
        <f>ABS(-0.001066222)</f>
        <v>1.0662219999999999E-3</v>
      </c>
      <c r="D23" s="8">
        <f t="shared" si="0"/>
        <v>1.2646262E-4</v>
      </c>
      <c r="E23" s="9">
        <f t="shared" si="1"/>
        <v>0.84311237581508258</v>
      </c>
      <c r="F23" s="10">
        <f t="shared" si="2"/>
        <v>126.46262</v>
      </c>
    </row>
    <row r="24" spans="1:6" x14ac:dyDescent="0.3">
      <c r="A24" s="7">
        <v>0.16</v>
      </c>
      <c r="B24" s="8">
        <f>ABS(0.0012539742)</f>
        <v>1.2539742E-3</v>
      </c>
      <c r="C24" s="8">
        <f>ABS(-0.0010641831)</f>
        <v>1.0641831E-3</v>
      </c>
      <c r="D24" s="8">
        <f t="shared" si="0"/>
        <v>1.2539741999999999E-4</v>
      </c>
      <c r="E24" s="9">
        <f t="shared" si="1"/>
        <v>0.8486483214726428</v>
      </c>
      <c r="F24" s="10">
        <f t="shared" si="2"/>
        <v>125.39742</v>
      </c>
    </row>
    <row r="25" spans="1:6" x14ac:dyDescent="0.3">
      <c r="A25" s="7">
        <v>0.17</v>
      </c>
      <c r="B25" s="8">
        <f>ABS(0.0012433427)</f>
        <v>1.2433427E-3</v>
      </c>
      <c r="C25" s="8">
        <f>ABS(-0.0010621176)</f>
        <v>1.0621176E-3</v>
      </c>
      <c r="D25" s="8">
        <f t="shared" si="0"/>
        <v>1.2433426999999998E-4</v>
      </c>
      <c r="E25" s="9">
        <f t="shared" si="1"/>
        <v>0.85424364497414917</v>
      </c>
      <c r="F25" s="10">
        <f t="shared" si="2"/>
        <v>124.33426999999999</v>
      </c>
    </row>
    <row r="26" spans="1:6" x14ac:dyDescent="0.3">
      <c r="A26" s="7">
        <v>0.18</v>
      </c>
      <c r="B26" s="8">
        <f>ABS(0.001232732)</f>
        <v>1.2327320000000001E-3</v>
      </c>
      <c r="C26" s="8">
        <f>ABS(-0.0010600253)</f>
        <v>1.0600252999999999E-3</v>
      </c>
      <c r="D26" s="8">
        <f t="shared" si="0"/>
        <v>1.2327320000000001E-4</v>
      </c>
      <c r="E26" s="9">
        <f t="shared" si="1"/>
        <v>0.85989923194984785</v>
      </c>
      <c r="F26" s="10">
        <f t="shared" si="2"/>
        <v>123.27320000000002</v>
      </c>
    </row>
    <row r="27" spans="1:6" x14ac:dyDescent="0.3">
      <c r="A27" s="7">
        <v>0.19</v>
      </c>
      <c r="B27" s="8">
        <f>ABS(0.0012221423)</f>
        <v>1.2221422999999999E-3</v>
      </c>
      <c r="C27" s="8">
        <f>ABS(-0.0010579063)</f>
        <v>1.0579063000000001E-3</v>
      </c>
      <c r="D27" s="8">
        <f t="shared" si="0"/>
        <v>1.2221422999999999E-4</v>
      </c>
      <c r="E27" s="9">
        <f t="shared" si="1"/>
        <v>0.86561630343700569</v>
      </c>
      <c r="F27" s="10">
        <f t="shared" si="2"/>
        <v>122.21423</v>
      </c>
    </row>
    <row r="28" spans="1:6" x14ac:dyDescent="0.3">
      <c r="A28" s="7">
        <v>0.2</v>
      </c>
      <c r="B28" s="8">
        <f>ABS(0.001211574)</f>
        <v>1.211574E-3</v>
      </c>
      <c r="C28" s="8">
        <f>ABS(-0.0010557604)</f>
        <v>1.0557603999999999E-3</v>
      </c>
      <c r="D28" s="8">
        <f t="shared" si="0"/>
        <v>1.2115739999999999E-4</v>
      </c>
      <c r="E28" s="9">
        <f t="shared" si="1"/>
        <v>0.87139572159851564</v>
      </c>
      <c r="F28" s="10">
        <f t="shared" si="2"/>
        <v>121.1574</v>
      </c>
    </row>
    <row r="29" spans="1:6" x14ac:dyDescent="0.3">
      <c r="A29" s="7">
        <v>0.21</v>
      </c>
      <c r="B29" s="8">
        <f>ABS(0.0012010273)</f>
        <v>1.2010273E-3</v>
      </c>
      <c r="C29" s="8">
        <f>ABS(-0.0010535875)</f>
        <v>1.0535875000000001E-3</v>
      </c>
      <c r="D29" s="8">
        <f t="shared" si="0"/>
        <v>1.2010273000000001E-4</v>
      </c>
      <c r="E29" s="9">
        <f t="shared" si="1"/>
        <v>0.87723859399365867</v>
      </c>
      <c r="F29" s="10">
        <f t="shared" si="2"/>
        <v>120.10273000000001</v>
      </c>
    </row>
    <row r="30" spans="1:6" x14ac:dyDescent="0.3">
      <c r="A30" s="7">
        <v>0.22</v>
      </c>
      <c r="B30" s="8">
        <f>ABS(0.0011905024)</f>
        <v>1.1905024000000001E-3</v>
      </c>
      <c r="C30" s="8">
        <f>ABS(-0.0010513876)</f>
        <v>1.0513876E-3</v>
      </c>
      <c r="D30" s="8">
        <f t="shared" si="0"/>
        <v>1.1905024000000001E-4</v>
      </c>
      <c r="E30" s="9">
        <f t="shared" si="1"/>
        <v>0.8831461406545672</v>
      </c>
      <c r="F30" s="10">
        <f t="shared" si="2"/>
        <v>119.05024000000002</v>
      </c>
    </row>
    <row r="31" spans="1:6" x14ac:dyDescent="0.3">
      <c r="A31" s="7">
        <v>0.23</v>
      </c>
      <c r="B31" s="8">
        <f>ABS(0.0011799997)</f>
        <v>1.1799997E-3</v>
      </c>
      <c r="C31" s="8">
        <f>ABS(-0.0010491604)</f>
        <v>1.0491604000000001E-3</v>
      </c>
      <c r="D31" s="8">
        <f t="shared" si="0"/>
        <v>1.1799996999999999E-4</v>
      </c>
      <c r="E31" s="9">
        <f t="shared" si="1"/>
        <v>0.88911920909810416</v>
      </c>
      <c r="F31" s="10">
        <f t="shared" si="2"/>
        <v>117.99996999999999</v>
      </c>
    </row>
    <row r="32" spans="1:6" x14ac:dyDescent="0.3">
      <c r="A32" s="7">
        <v>0.24</v>
      </c>
      <c r="B32" s="8">
        <f>ABS(0.0011695193)</f>
        <v>1.1695193E-3</v>
      </c>
      <c r="C32" s="8">
        <f>ABS(-0.0010469059)</f>
        <v>1.0469059E-3</v>
      </c>
      <c r="D32" s="8">
        <f t="shared" si="0"/>
        <v>1.1695193000000001E-4</v>
      </c>
      <c r="E32" s="9">
        <f t="shared" si="1"/>
        <v>0.89515914786528106</v>
      </c>
      <c r="F32" s="10">
        <f t="shared" si="2"/>
        <v>116.95193</v>
      </c>
    </row>
    <row r="33" spans="1:6" x14ac:dyDescent="0.3">
      <c r="A33" s="7">
        <v>0.25</v>
      </c>
      <c r="B33" s="8">
        <f>ABS(0.0011590617)</f>
        <v>1.1590617000000001E-3</v>
      </c>
      <c r="C33" s="8">
        <f>ABS(-0.001044624)</f>
        <v>1.0446240000000001E-3</v>
      </c>
      <c r="D33" s="8">
        <f t="shared" si="0"/>
        <v>1.1590617000000001E-4</v>
      </c>
      <c r="E33" s="9">
        <f t="shared" si="1"/>
        <v>0.90126694722118761</v>
      </c>
      <c r="F33" s="10">
        <f t="shared" si="2"/>
        <v>115.90617</v>
      </c>
    </row>
    <row r="34" spans="1:6" x14ac:dyDescent="0.3">
      <c r="A34" s="7">
        <v>0.26</v>
      </c>
      <c r="B34" s="8">
        <f>ABS(0.001148627)</f>
        <v>1.1486269999999999E-3</v>
      </c>
      <c r="C34" s="8">
        <f>ABS(-0.0010423146)</f>
        <v>1.0423145999999999E-3</v>
      </c>
      <c r="D34" s="8">
        <f t="shared" si="0"/>
        <v>1.1486269999999999E-4</v>
      </c>
      <c r="E34" s="9">
        <f t="shared" si="1"/>
        <v>0.90744393088443853</v>
      </c>
      <c r="F34" s="10">
        <f t="shared" si="2"/>
        <v>114.86269999999999</v>
      </c>
    </row>
    <row r="35" spans="1:6" x14ac:dyDescent="0.3">
      <c r="A35" s="7">
        <v>0.27</v>
      </c>
      <c r="B35" s="8">
        <f>ABS(0.0011382155)</f>
        <v>1.1382155000000001E-3</v>
      </c>
      <c r="C35" s="8">
        <f>ABS(-0.0010399776)</f>
        <v>1.0399776000000001E-3</v>
      </c>
      <c r="D35" s="8">
        <f t="shared" si="0"/>
        <v>1.1382155E-4</v>
      </c>
      <c r="E35" s="9">
        <f t="shared" si="1"/>
        <v>0.91369130010968924</v>
      </c>
      <c r="F35" s="10">
        <f t="shared" si="2"/>
        <v>113.82155</v>
      </c>
    </row>
    <row r="36" spans="1:6" x14ac:dyDescent="0.3">
      <c r="A36" s="7">
        <v>0.28000000000000003</v>
      </c>
      <c r="B36" s="8">
        <f>ABS(0.0011278276)</f>
        <v>1.1278276000000001E-3</v>
      </c>
      <c r="C36" s="8">
        <f>ABS(-0.0010376128)</f>
        <v>1.0376128000000001E-3</v>
      </c>
      <c r="D36" s="8">
        <f t="shared" si="0"/>
        <v>1.1278276E-4</v>
      </c>
      <c r="E36" s="9">
        <f t="shared" si="1"/>
        <v>0.92001011502112562</v>
      </c>
      <c r="F36" s="10">
        <f t="shared" si="2"/>
        <v>112.78276000000001</v>
      </c>
    </row>
    <row r="37" spans="1:6" x14ac:dyDescent="0.3">
      <c r="A37" s="7">
        <v>0.28999999999999998</v>
      </c>
      <c r="B37" s="8">
        <f>ABS(0.0011174634)</f>
        <v>1.1174634000000001E-3</v>
      </c>
      <c r="C37" s="8">
        <f>ABS(-0.0010352201)</f>
        <v>1.0352200999999999E-3</v>
      </c>
      <c r="D37" s="8">
        <f t="shared" si="0"/>
        <v>1.1174634000000001E-4</v>
      </c>
      <c r="E37" s="9">
        <f t="shared" si="1"/>
        <v>0.92640179535186551</v>
      </c>
      <c r="F37" s="10">
        <f t="shared" si="2"/>
        <v>111.74634</v>
      </c>
    </row>
    <row r="38" spans="1:6" x14ac:dyDescent="0.3">
      <c r="A38" s="7">
        <v>0.3</v>
      </c>
      <c r="B38" s="8">
        <f>ABS(0.0011071233)</f>
        <v>1.1071233000000001E-3</v>
      </c>
      <c r="C38" s="8">
        <f>ABS(-0.0010327995)</f>
        <v>1.0327995E-3</v>
      </c>
      <c r="D38" s="8">
        <f t="shared" si="0"/>
        <v>1.1071233000000002E-4</v>
      </c>
      <c r="E38" s="9">
        <f t="shared" si="1"/>
        <v>0.93286763994579458</v>
      </c>
      <c r="F38" s="10">
        <f t="shared" si="2"/>
        <v>110.71233000000002</v>
      </c>
    </row>
    <row r="39" spans="1:6" x14ac:dyDescent="0.3">
      <c r="A39" s="7">
        <v>0.31</v>
      </c>
      <c r="B39" s="8">
        <f>ABS(0.0010968076)</f>
        <v>1.0968076E-3</v>
      </c>
      <c r="C39" s="8">
        <f>ABS(-0.0010303507)</f>
        <v>1.0303507E-3</v>
      </c>
      <c r="D39" s="8">
        <f t="shared" si="0"/>
        <v>1.0968075999999999E-4</v>
      </c>
      <c r="E39" s="9">
        <f t="shared" si="1"/>
        <v>0.93940878965463037</v>
      </c>
      <c r="F39" s="10">
        <f t="shared" si="2"/>
        <v>109.68075999999999</v>
      </c>
    </row>
    <row r="40" spans="1:6" x14ac:dyDescent="0.3">
      <c r="A40" s="7">
        <v>0.32</v>
      </c>
      <c r="B40" s="8">
        <f>ABS(0.0010865164)</f>
        <v>1.0865164E-3</v>
      </c>
      <c r="C40" s="8">
        <f>ABS(-0.0010278737)</f>
        <v>1.0278736999999999E-3</v>
      </c>
      <c r="D40" s="8">
        <f t="shared" si="0"/>
        <v>1.0865163999999999E-4</v>
      </c>
      <c r="E40" s="9">
        <f t="shared" si="1"/>
        <v>0.94602686162859573</v>
      </c>
      <c r="F40" s="10">
        <f t="shared" si="2"/>
        <v>108.65163999999999</v>
      </c>
    </row>
    <row r="41" spans="1:6" x14ac:dyDescent="0.3">
      <c r="A41" s="7">
        <v>0.33</v>
      </c>
      <c r="B41" s="8">
        <f>ABS(0.0010762502)</f>
        <v>1.0762502E-3</v>
      </c>
      <c r="C41" s="8">
        <f>ABS(-0.0010253684)</f>
        <v>1.0253683999999999E-3</v>
      </c>
      <c r="D41" s="8">
        <f t="shared" si="0"/>
        <v>1.0762502E-4</v>
      </c>
      <c r="E41" s="9">
        <f t="shared" si="1"/>
        <v>0.9527230749875818</v>
      </c>
      <c r="F41" s="10">
        <f t="shared" si="2"/>
        <v>107.62502000000001</v>
      </c>
    </row>
    <row r="42" spans="1:6" x14ac:dyDescent="0.3">
      <c r="A42" s="7">
        <v>0.34</v>
      </c>
      <c r="B42" s="8">
        <f>ABS(0.0010660092)</f>
        <v>1.0660092E-3</v>
      </c>
      <c r="C42" s="8">
        <f>ABS(-0.0010228345)</f>
        <v>1.0228345E-3</v>
      </c>
      <c r="D42" s="8">
        <f t="shared" si="0"/>
        <v>1.0660092E-4</v>
      </c>
      <c r="E42" s="9">
        <f t="shared" si="1"/>
        <v>0.9594987547949867</v>
      </c>
      <c r="F42" s="10">
        <f t="shared" si="2"/>
        <v>106.60092</v>
      </c>
    </row>
    <row r="43" spans="1:6" x14ac:dyDescent="0.3">
      <c r="A43" s="7">
        <v>0.35</v>
      </c>
      <c r="B43" s="8">
        <f>ABS(0.0010557937)</f>
        <v>1.0557937E-3</v>
      </c>
      <c r="C43" s="8">
        <f>ABS(-0.0010202721)</f>
        <v>1.0202721000000001E-3</v>
      </c>
      <c r="D43" s="8">
        <f t="shared" si="0"/>
        <v>1.0557937E-4</v>
      </c>
      <c r="E43" s="9">
        <f t="shared" si="1"/>
        <v>0.96635554843716165</v>
      </c>
      <c r="F43" s="10">
        <f t="shared" si="2"/>
        <v>105.57937</v>
      </c>
    </row>
    <row r="44" spans="1:6" x14ac:dyDescent="0.3">
      <c r="A44" s="7">
        <v>0.36</v>
      </c>
      <c r="B44" s="8">
        <f>ABS(0.0010456039)</f>
        <v>1.0456039000000001E-3</v>
      </c>
      <c r="C44" s="8">
        <f>ABS(-0.0010176809)</f>
        <v>1.0176809000000001E-3</v>
      </c>
      <c r="D44" s="8">
        <f t="shared" si="0"/>
        <v>1.0456039E-4</v>
      </c>
      <c r="E44" s="9">
        <f t="shared" si="1"/>
        <v>0.97329485859798337</v>
      </c>
      <c r="F44" s="10">
        <f t="shared" si="2"/>
        <v>104.56039</v>
      </c>
    </row>
    <row r="45" spans="1:6" x14ac:dyDescent="0.3">
      <c r="A45" s="7">
        <v>0.37</v>
      </c>
      <c r="B45" s="8">
        <f>ABS(0.0010354402)</f>
        <v>1.0354402E-3</v>
      </c>
      <c r="C45" s="8">
        <f>ABS(-0.0010150607)</f>
        <v>1.0150606999999999E-3</v>
      </c>
      <c r="D45" s="8">
        <f t="shared" si="0"/>
        <v>1.0354402E-4</v>
      </c>
      <c r="E45" s="9">
        <f t="shared" si="1"/>
        <v>0.9803180328521145</v>
      </c>
      <c r="F45" s="10">
        <f t="shared" si="2"/>
        <v>103.54402</v>
      </c>
    </row>
    <row r="46" spans="1:6" x14ac:dyDescent="0.3">
      <c r="A46" s="7">
        <v>0.38</v>
      </c>
      <c r="B46" s="8">
        <f>ABS(0.0010253028)</f>
        <v>1.0253027999999999E-3</v>
      </c>
      <c r="C46" s="8">
        <f>ABS(-0.0010124116)</f>
        <v>1.0124115999999999E-3</v>
      </c>
      <c r="D46" s="8">
        <f t="shared" si="0"/>
        <v>1.0253027999999999E-4</v>
      </c>
      <c r="E46" s="9">
        <f t="shared" si="1"/>
        <v>0.98742693377995261</v>
      </c>
      <c r="F46" s="10">
        <f t="shared" si="2"/>
        <v>102.53027999999999</v>
      </c>
    </row>
    <row r="47" spans="1:6" x14ac:dyDescent="0.3">
      <c r="A47" s="7">
        <v>0.39</v>
      </c>
      <c r="B47" s="8">
        <f>ABS(0.0010151921)</f>
        <v>1.0151921000000001E-3</v>
      </c>
      <c r="C47" s="8">
        <f>ABS(-0.0010097333)</f>
        <v>1.0097333E-3</v>
      </c>
      <c r="D47" s="8">
        <f t="shared" si="0"/>
        <v>1.0151921E-4</v>
      </c>
      <c r="E47" s="9">
        <f t="shared" si="1"/>
        <v>0.99462288959892409</v>
      </c>
      <c r="F47" s="10">
        <f t="shared" si="2"/>
        <v>101.51921</v>
      </c>
    </row>
    <row r="48" spans="1:6" x14ac:dyDescent="0.3">
      <c r="A48" s="7">
        <v>0.4</v>
      </c>
      <c r="B48" s="8">
        <f>ABS(0.0010051083)</f>
        <v>1.0051083000000001E-3</v>
      </c>
      <c r="C48" s="8">
        <f>ABS(-0.0010070257)</f>
        <v>1.0070257E-3</v>
      </c>
      <c r="D48" s="8">
        <f t="shared" si="0"/>
        <v>1.0051083000000002E-4</v>
      </c>
      <c r="E48" s="9">
        <f t="shared" si="1"/>
        <v>1.0019076551253232</v>
      </c>
      <c r="F48" s="10">
        <f t="shared" si="2"/>
        <v>100.51083000000001</v>
      </c>
    </row>
    <row r="49" spans="1:6" x14ac:dyDescent="0.3">
      <c r="A49" s="7">
        <v>0.41</v>
      </c>
      <c r="B49" s="8">
        <f>ABS(0.00099505175)</f>
        <v>9.9505175000000009E-4</v>
      </c>
      <c r="C49" s="8">
        <f>ABS(-0.0010042886)</f>
        <v>1.0042886000000001E-3</v>
      </c>
      <c r="D49" s="8">
        <f t="shared" si="0"/>
        <v>9.9505175000000009E-5</v>
      </c>
      <c r="E49" s="9">
        <f t="shared" si="1"/>
        <v>1.0092827835336202</v>
      </c>
      <c r="F49" s="10">
        <f t="shared" si="2"/>
        <v>99.505175000000008</v>
      </c>
    </row>
    <row r="50" spans="1:6" x14ac:dyDescent="0.3">
      <c r="A50" s="7">
        <v>0.42</v>
      </c>
      <c r="B50" s="8">
        <f>ABS(0.0009850227)</f>
        <v>9.8502269999999992E-4</v>
      </c>
      <c r="C50" s="8">
        <f>ABS(-0.001001522)</f>
        <v>1.0015219999999999E-3</v>
      </c>
      <c r="D50" s="8">
        <f t="shared" si="0"/>
        <v>9.8502269999999992E-5</v>
      </c>
      <c r="E50" s="9">
        <f t="shared" si="1"/>
        <v>1.0167501723564341</v>
      </c>
      <c r="F50" s="10">
        <f t="shared" si="2"/>
        <v>98.502269999999996</v>
      </c>
    </row>
    <row r="51" spans="1:6" x14ac:dyDescent="0.3">
      <c r="A51" s="7">
        <v>0.43</v>
      </c>
      <c r="B51" s="8">
        <f>ABS(0.00097502146)</f>
        <v>9.7502145999999997E-4</v>
      </c>
      <c r="C51" s="8">
        <f>ABS(-0.00099872558)</f>
        <v>9.9872558000000007E-4</v>
      </c>
      <c r="D51" s="8">
        <f t="shared" si="0"/>
        <v>9.7502146000000002E-5</v>
      </c>
      <c r="E51" s="9">
        <f t="shared" si="1"/>
        <v>1.0243113828489478</v>
      </c>
      <c r="F51" s="10">
        <f t="shared" si="2"/>
        <v>97.502145999999996</v>
      </c>
    </row>
    <row r="52" spans="1:6" x14ac:dyDescent="0.3">
      <c r="A52" s="7">
        <v>0.44</v>
      </c>
      <c r="B52" s="8">
        <f>ABS(0.00096504834)</f>
        <v>9.6504833999999998E-4</v>
      </c>
      <c r="C52" s="8">
        <f>ABS(-0.00099589928)</f>
        <v>9.9589927999999993E-4</v>
      </c>
      <c r="D52" s="8">
        <f t="shared" si="0"/>
        <v>9.6504833999999998E-5</v>
      </c>
      <c r="E52" s="9">
        <f t="shared" si="1"/>
        <v>1.0319682846146339</v>
      </c>
      <c r="F52" s="10">
        <f t="shared" si="2"/>
        <v>96.504834000000002</v>
      </c>
    </row>
    <row r="53" spans="1:6" x14ac:dyDescent="0.3">
      <c r="A53" s="7">
        <v>0.45</v>
      </c>
      <c r="B53" s="8">
        <f>ABS(0.00095510362)</f>
        <v>9.5510362000000002E-4</v>
      </c>
      <c r="C53" s="8">
        <f>ABS(-0.00099304293)</f>
        <v>9.9304292999999994E-4</v>
      </c>
      <c r="D53" s="8">
        <f t="shared" si="0"/>
        <v>9.5510362000000002E-5</v>
      </c>
      <c r="E53" s="9">
        <f t="shared" si="1"/>
        <v>1.039722716159321</v>
      </c>
      <c r="F53" s="10">
        <f t="shared" si="2"/>
        <v>95.510362000000001</v>
      </c>
    </row>
    <row r="54" spans="1:6" x14ac:dyDescent="0.3">
      <c r="A54" s="7">
        <v>0.46</v>
      </c>
      <c r="B54" s="8">
        <f>ABS(0.00094518763)</f>
        <v>9.4518762999999998E-4</v>
      </c>
      <c r="C54" s="8">
        <f>ABS(-0.00099015637)</f>
        <v>9.9015637000000011E-4</v>
      </c>
      <c r="D54" s="8">
        <f t="shared" si="0"/>
        <v>9.4518762999999992E-5</v>
      </c>
      <c r="E54" s="9">
        <f t="shared" si="1"/>
        <v>1.0475765219229543</v>
      </c>
      <c r="F54" s="10">
        <f t="shared" si="2"/>
        <v>94.518762999999993</v>
      </c>
    </row>
    <row r="55" spans="1:6" x14ac:dyDescent="0.3">
      <c r="A55" s="7">
        <v>0.47</v>
      </c>
      <c r="B55" s="8">
        <f>ABS(0.00093530065)</f>
        <v>9.3530065000000003E-4</v>
      </c>
      <c r="C55" s="8">
        <f>ABS(-0.00098723945)</f>
        <v>9.8723944999999994E-4</v>
      </c>
      <c r="D55" s="8">
        <f t="shared" si="0"/>
        <v>9.3530065000000005E-5</v>
      </c>
      <c r="E55" s="9">
        <f t="shared" si="1"/>
        <v>1.0555316624659674</v>
      </c>
      <c r="F55" s="10">
        <f t="shared" si="2"/>
        <v>93.530065000000008</v>
      </c>
    </row>
    <row r="56" spans="1:6" x14ac:dyDescent="0.3">
      <c r="A56" s="7">
        <v>0.48</v>
      </c>
      <c r="B56" s="8">
        <f>ABS(0.00092544299)</f>
        <v>9.2544299000000001E-4</v>
      </c>
      <c r="C56" s="8">
        <f>ABS(-0.00098429202)</f>
        <v>9.8429202000000003E-4</v>
      </c>
      <c r="D56" s="8">
        <f t="shared" si="0"/>
        <v>9.2544298999999998E-5</v>
      </c>
      <c r="E56" s="9">
        <f t="shared" si="1"/>
        <v>1.0635901191493169</v>
      </c>
      <c r="F56" s="10">
        <f t="shared" si="2"/>
        <v>92.544298999999995</v>
      </c>
    </row>
    <row r="57" spans="1:6" x14ac:dyDescent="0.3">
      <c r="A57" s="7">
        <v>0.49</v>
      </c>
      <c r="B57" s="8">
        <f>ABS(0.00091561496)</f>
        <v>9.1561495999999999E-4</v>
      </c>
      <c r="C57" s="8">
        <f>ABS(-0.0009813139)</f>
        <v>9.8131390000000002E-4</v>
      </c>
      <c r="D57" s="8">
        <f t="shared" si="0"/>
        <v>9.1561495999999996E-5</v>
      </c>
      <c r="E57" s="9">
        <f t="shared" si="1"/>
        <v>1.0717538953273547</v>
      </c>
      <c r="F57" s="10">
        <f t="shared" si="2"/>
        <v>91.561495999999991</v>
      </c>
    </row>
    <row r="58" spans="1:6" x14ac:dyDescent="0.3">
      <c r="A58" s="7">
        <v>0.5</v>
      </c>
      <c r="B58" s="8">
        <f>ABS(0.00090581687)</f>
        <v>9.0581687000000004E-4</v>
      </c>
      <c r="C58" s="8">
        <f>ABS(-0.00097830494)</f>
        <v>9.7830494000000008E-4</v>
      </c>
      <c r="D58" s="8">
        <f t="shared" si="0"/>
        <v>9.0581686999999998E-5</v>
      </c>
      <c r="E58" s="9">
        <f t="shared" si="1"/>
        <v>1.0800250827741815</v>
      </c>
      <c r="F58" s="10">
        <f t="shared" si="2"/>
        <v>90.581687000000002</v>
      </c>
    </row>
    <row r="59" spans="1:6" x14ac:dyDescent="0.3">
      <c r="A59" s="7">
        <v>0.51</v>
      </c>
      <c r="B59" s="8">
        <f>ABS(0.00089604902)</f>
        <v>8.9604902000000003E-4</v>
      </c>
      <c r="C59" s="8">
        <f>ABS(-0.00097526497)</f>
        <v>9.7526497000000002E-4</v>
      </c>
      <c r="D59" s="8">
        <f t="shared" si="0"/>
        <v>8.9604902000000005E-5</v>
      </c>
      <c r="E59" s="9">
        <f t="shared" si="1"/>
        <v>1.088405821815418</v>
      </c>
      <c r="F59" s="10">
        <f t="shared" si="2"/>
        <v>89.60490200000001</v>
      </c>
    </row>
    <row r="60" spans="1:6" x14ac:dyDescent="0.3">
      <c r="A60" s="7">
        <v>0.52</v>
      </c>
      <c r="B60" s="8">
        <f>ABS(0.00088631172)</f>
        <v>8.8631172000000003E-4</v>
      </c>
      <c r="C60" s="8">
        <f>ABS(-0.00097219382)</f>
        <v>9.7219381999999997E-4</v>
      </c>
      <c r="D60" s="8">
        <f t="shared" si="0"/>
        <v>8.8631172000000003E-5</v>
      </c>
      <c r="E60" s="9">
        <f t="shared" si="1"/>
        <v>1.0968983011981381</v>
      </c>
      <c r="F60" s="10">
        <f t="shared" si="2"/>
        <v>88.631172000000007</v>
      </c>
    </row>
    <row r="61" spans="1:6" x14ac:dyDescent="0.3">
      <c r="A61" s="7">
        <v>0.53</v>
      </c>
      <c r="B61" s="8">
        <f>ABS(0.0008766053)</f>
        <v>8.7660530000000002E-4</v>
      </c>
      <c r="C61" s="8">
        <f>ABS(-0.00096909133)</f>
        <v>9.6909133000000003E-4</v>
      </c>
      <c r="D61" s="8">
        <f t="shared" si="0"/>
        <v>8.7660530000000008E-5</v>
      </c>
      <c r="E61" s="9">
        <f t="shared" si="1"/>
        <v>1.1055047579566311</v>
      </c>
      <c r="F61" s="10">
        <f t="shared" si="2"/>
        <v>87.660530000000008</v>
      </c>
    </row>
    <row r="62" spans="1:6" x14ac:dyDescent="0.3">
      <c r="A62" s="7">
        <v>0.54</v>
      </c>
      <c r="B62" s="8">
        <f>ABS(0.00086693006)</f>
        <v>8.6693006E-4</v>
      </c>
      <c r="C62" s="8">
        <f>ABS(-0.00096595733)</f>
        <v>9.6595733000000002E-4</v>
      </c>
      <c r="D62" s="8">
        <f t="shared" si="0"/>
        <v>8.6693005999999995E-5</v>
      </c>
      <c r="E62" s="9">
        <f t="shared" si="1"/>
        <v>1.1142275191149791</v>
      </c>
      <c r="F62" s="10">
        <f t="shared" si="2"/>
        <v>86.693005999999997</v>
      </c>
    </row>
    <row r="63" spans="1:6" x14ac:dyDescent="0.3">
      <c r="A63" s="7">
        <v>0.55000000000000004</v>
      </c>
      <c r="B63" s="8">
        <f>ABS(0.00085728631)</f>
        <v>8.5728631000000003E-4</v>
      </c>
      <c r="C63" s="8">
        <f>ABS(-0.00096279163)</f>
        <v>9.6279163000000004E-4</v>
      </c>
      <c r="D63" s="8">
        <f t="shared" si="0"/>
        <v>8.5728631000000003E-5</v>
      </c>
      <c r="E63" s="9">
        <f t="shared" si="1"/>
        <v>1.1230689429765885</v>
      </c>
      <c r="F63" s="10">
        <f t="shared" si="2"/>
        <v>85.728631000000007</v>
      </c>
    </row>
    <row r="64" spans="1:6" x14ac:dyDescent="0.3">
      <c r="A64" s="7">
        <v>0.56000000000000005</v>
      </c>
      <c r="B64" s="8">
        <f>ABS(0.00084767438)</f>
        <v>8.4767437999999997E-4</v>
      </c>
      <c r="C64" s="8">
        <f>ABS(-0.00095959407)</f>
        <v>9.5959406999999997E-4</v>
      </c>
      <c r="D64" s="8">
        <f t="shared" si="0"/>
        <v>8.4767437999999995E-5</v>
      </c>
      <c r="E64" s="9">
        <f t="shared" si="1"/>
        <v>1.1320314647235179</v>
      </c>
      <c r="F64" s="10">
        <f t="shared" si="2"/>
        <v>84.767437999999999</v>
      </c>
    </row>
    <row r="65" spans="1:6" x14ac:dyDescent="0.3">
      <c r="A65" s="7">
        <v>0.56999999999999995</v>
      </c>
      <c r="B65" s="8">
        <f>ABS(0.00083809459)</f>
        <v>8.3809458999999998E-4</v>
      </c>
      <c r="C65" s="8">
        <f>ABS(-0.00095636447)</f>
        <v>9.5636446999999999E-4</v>
      </c>
      <c r="D65" s="8">
        <f t="shared" si="0"/>
        <v>8.3809458999999992E-5</v>
      </c>
      <c r="E65" s="9">
        <f t="shared" si="1"/>
        <v>1.1411175795801283</v>
      </c>
      <c r="F65" s="10">
        <f t="shared" si="2"/>
        <v>83.80945899999999</v>
      </c>
    </row>
    <row r="66" spans="1:6" x14ac:dyDescent="0.3">
      <c r="A66" s="7">
        <v>0.57999999999999996</v>
      </c>
      <c r="B66" s="8">
        <f>ABS(0.00082854725)</f>
        <v>8.2854724999999998E-4</v>
      </c>
      <c r="C66" s="8">
        <f>ABS(-0.00095310265)</f>
        <v>9.5310264999999995E-4</v>
      </c>
      <c r="D66" s="8">
        <f t="shared" si="0"/>
        <v>8.2854724999999993E-5</v>
      </c>
      <c r="E66" s="9">
        <f t="shared" si="1"/>
        <v>1.1503298695397275</v>
      </c>
      <c r="F66" s="10">
        <f t="shared" si="2"/>
        <v>82.854724999999988</v>
      </c>
    </row>
    <row r="67" spans="1:6" x14ac:dyDescent="0.3">
      <c r="A67" s="7">
        <v>0.59</v>
      </c>
      <c r="B67" s="8">
        <f>ABS(0.0008190327)</f>
        <v>8.1903270000000005E-4</v>
      </c>
      <c r="C67" s="8">
        <f>ABS(-0.00094980842)</f>
        <v>9.4980841999999996E-4</v>
      </c>
      <c r="D67" s="8">
        <f t="shared" si="0"/>
        <v>8.190327000000001E-5</v>
      </c>
      <c r="E67" s="9">
        <f t="shared" si="1"/>
        <v>1.1596709386572721</v>
      </c>
      <c r="F67" s="10">
        <f t="shared" si="2"/>
        <v>81.903270000000006</v>
      </c>
    </row>
    <row r="68" spans="1:6" x14ac:dyDescent="0.3">
      <c r="A68" s="7">
        <v>0.6</v>
      </c>
      <c r="B68" s="8">
        <f>ABS(0.00080955125)</f>
        <v>8.0955125000000002E-4</v>
      </c>
      <c r="C68" s="8">
        <f>ABS(-0.00094648161)</f>
        <v>9.4648161000000005E-4</v>
      </c>
      <c r="D68" s="8">
        <f t="shared" si="0"/>
        <v>8.0955125000000002E-5</v>
      </c>
      <c r="E68" s="9">
        <f t="shared" si="1"/>
        <v>1.1691435347669465</v>
      </c>
      <c r="F68" s="10">
        <f t="shared" si="2"/>
        <v>80.955124999999995</v>
      </c>
    </row>
    <row r="69" spans="1:6" x14ac:dyDescent="0.3">
      <c r="A69" s="7">
        <v>0.61</v>
      </c>
      <c r="B69" s="8">
        <f>ABS(0.00080010323)</f>
        <v>8.0010322999999998E-4</v>
      </c>
      <c r="C69" s="8">
        <f>ABS(-0.00094312203)</f>
        <v>9.4312203E-4</v>
      </c>
      <c r="D69" s="8">
        <f t="shared" si="0"/>
        <v>8.0010322999999998E-5</v>
      </c>
      <c r="E69" s="9">
        <f t="shared" si="1"/>
        <v>1.1787504344908095</v>
      </c>
      <c r="F69" s="10">
        <f t="shared" si="2"/>
        <v>80.010323</v>
      </c>
    </row>
    <row r="70" spans="1:6" x14ac:dyDescent="0.3">
      <c r="A70" s="7">
        <v>0.62</v>
      </c>
      <c r="B70" s="8">
        <f>ABS(0.00079068897)</f>
        <v>7.9068897000000003E-4</v>
      </c>
      <c r="C70" s="8">
        <f>ABS(-0.00093972948)</f>
        <v>9.3972947999999997E-4</v>
      </c>
      <c r="D70" s="8">
        <f t="shared" si="0"/>
        <v>7.9068897000000003E-5</v>
      </c>
      <c r="E70" s="9">
        <f t="shared" si="1"/>
        <v>1.1884944847529617</v>
      </c>
      <c r="F70" s="10">
        <f t="shared" si="2"/>
        <v>79.068897000000007</v>
      </c>
    </row>
    <row r="71" spans="1:6" x14ac:dyDescent="0.3">
      <c r="A71" s="7">
        <v>0.63</v>
      </c>
      <c r="B71" s="8">
        <f>ABS(0.00078130881)</f>
        <v>7.8130881E-4</v>
      </c>
      <c r="C71" s="8">
        <f>ABS(-0.00093630379)</f>
        <v>9.3630378999999997E-4</v>
      </c>
      <c r="D71" s="8">
        <f t="shared" si="0"/>
        <v>7.8130881000000002E-5</v>
      </c>
      <c r="E71" s="9">
        <f t="shared" si="1"/>
        <v>1.1983786410907102</v>
      </c>
      <c r="F71" s="10">
        <f t="shared" si="2"/>
        <v>78.130881000000002</v>
      </c>
    </row>
    <row r="72" spans="1:6" x14ac:dyDescent="0.3">
      <c r="A72" s="7">
        <v>0.64</v>
      </c>
      <c r="B72" s="8">
        <f>ABS(0.00077196306)</f>
        <v>7.7196306000000005E-4</v>
      </c>
      <c r="C72" s="8">
        <f>ABS(-0.00093284476)</f>
        <v>9.3284475999999995E-4</v>
      </c>
      <c r="D72" s="8">
        <f t="shared" ref="D72:D135" si="3">B72/$B$3</f>
        <v>7.7196306000000008E-5</v>
      </c>
      <c r="E72" s="9">
        <f t="shared" ref="E72:E135" si="4">IFERROR(C72/B72,"")</f>
        <v>1.2084059566269918</v>
      </c>
      <c r="F72" s="10">
        <f t="shared" ref="F72:F135" si="5">D72*1000000</f>
        <v>77.196306000000007</v>
      </c>
    </row>
    <row r="73" spans="1:6" x14ac:dyDescent="0.3">
      <c r="A73" s="7">
        <v>0.65</v>
      </c>
      <c r="B73" s="8">
        <f>ABS(0.00076265208)</f>
        <v>7.6265207999999995E-4</v>
      </c>
      <c r="C73" s="8">
        <f>ABS(-0.00092935219)</f>
        <v>9.2935219000000004E-4</v>
      </c>
      <c r="D73" s="8">
        <f t="shared" si="3"/>
        <v>7.6265207999999998E-5</v>
      </c>
      <c r="E73" s="9">
        <f t="shared" si="4"/>
        <v>1.2185794995799397</v>
      </c>
      <c r="F73" s="10">
        <f t="shared" si="5"/>
        <v>76.265208000000001</v>
      </c>
    </row>
    <row r="74" spans="1:6" x14ac:dyDescent="0.3">
      <c r="A74" s="7">
        <v>0.66</v>
      </c>
      <c r="B74" s="8">
        <f>ABS(0.00075337619)</f>
        <v>7.5337619000000005E-4</v>
      </c>
      <c r="C74" s="8">
        <f>ABS(-0.00092582589)</f>
        <v>9.2582589000000004E-4</v>
      </c>
      <c r="D74" s="8">
        <f t="shared" si="3"/>
        <v>7.5337619000000007E-5</v>
      </c>
      <c r="E74" s="9">
        <f t="shared" si="4"/>
        <v>1.2289025088515209</v>
      </c>
      <c r="F74" s="10">
        <f t="shared" si="5"/>
        <v>75.337619000000004</v>
      </c>
    </row>
    <row r="75" spans="1:6" x14ac:dyDescent="0.3">
      <c r="A75" s="7">
        <v>0.67</v>
      </c>
      <c r="B75" s="8">
        <f>ABS(0.00074413573)</f>
        <v>7.4413573000000005E-4</v>
      </c>
      <c r="C75" s="8">
        <f>ABS(-0.00092226567)</f>
        <v>9.2226567000000005E-4</v>
      </c>
      <c r="D75" s="8">
        <f t="shared" si="3"/>
        <v>7.4413573000000008E-5</v>
      </c>
      <c r="E75" s="9">
        <f t="shared" si="4"/>
        <v>1.2393782919145677</v>
      </c>
      <c r="F75" s="10">
        <f t="shared" si="5"/>
        <v>74.413573000000014</v>
      </c>
    </row>
    <row r="76" spans="1:6" x14ac:dyDescent="0.3">
      <c r="A76" s="7">
        <v>0.68</v>
      </c>
      <c r="B76" s="8">
        <f>ABS(0.00073493105)</f>
        <v>7.3493104999999999E-4</v>
      </c>
      <c r="C76" s="8">
        <f>ABS(-0.00091867132)</f>
        <v>9.1867132000000005E-4</v>
      </c>
      <c r="D76" s="8">
        <f t="shared" si="3"/>
        <v>7.3493104999999996E-5</v>
      </c>
      <c r="E76" s="9">
        <f t="shared" si="4"/>
        <v>1.2500102152440016</v>
      </c>
      <c r="F76" s="10">
        <f t="shared" si="5"/>
        <v>73.493105</v>
      </c>
    </row>
    <row r="77" spans="1:6" x14ac:dyDescent="0.3">
      <c r="A77" s="7">
        <v>0.69</v>
      </c>
      <c r="B77" s="8">
        <f>ABS(0.00072576248)</f>
        <v>7.2576247999999995E-4</v>
      </c>
      <c r="C77" s="8">
        <f>ABS(-0.00091504264)</f>
        <v>9.1504263999999996E-4</v>
      </c>
      <c r="D77" s="8">
        <f t="shared" si="3"/>
        <v>7.2576247999999989E-5</v>
      </c>
      <c r="E77" s="9">
        <f t="shared" si="4"/>
        <v>1.2608017984065532</v>
      </c>
      <c r="F77" s="10">
        <f t="shared" si="5"/>
        <v>72.576247999999993</v>
      </c>
    </row>
    <row r="78" spans="1:6" x14ac:dyDescent="0.3">
      <c r="A78" s="7">
        <v>0.7</v>
      </c>
      <c r="B78" s="8">
        <f>ABS(0.00071663037)</f>
        <v>7.1663037000000004E-4</v>
      </c>
      <c r="C78" s="8">
        <f>ABS(-0.00091137943)</f>
        <v>9.1137943000000005E-4</v>
      </c>
      <c r="D78" s="8">
        <f t="shared" si="3"/>
        <v>7.166303700000001E-5</v>
      </c>
      <c r="E78" s="9">
        <f t="shared" si="4"/>
        <v>1.2717566379443284</v>
      </c>
      <c r="F78" s="10">
        <f t="shared" si="5"/>
        <v>71.663037000000003</v>
      </c>
    </row>
    <row r="79" spans="1:6" x14ac:dyDescent="0.3">
      <c r="A79" s="7">
        <v>0.71</v>
      </c>
      <c r="B79" s="8">
        <f>ABS(0.00070753506)</f>
        <v>7.0753506E-4</v>
      </c>
      <c r="C79" s="8">
        <f>ABS(-0.00090768148)</f>
        <v>9.0768147999999995E-4</v>
      </c>
      <c r="D79" s="8">
        <f t="shared" si="3"/>
        <v>7.0753506000000003E-5</v>
      </c>
      <c r="E79" s="9">
        <f t="shared" si="4"/>
        <v>1.2828784484545543</v>
      </c>
      <c r="F79" s="10">
        <f t="shared" si="5"/>
        <v>70.753506000000002</v>
      </c>
    </row>
    <row r="80" spans="1:6" x14ac:dyDescent="0.3">
      <c r="A80" s="7">
        <v>0.72</v>
      </c>
      <c r="B80" s="8">
        <f>ABS(0.00069847691)</f>
        <v>6.9847691000000001E-4</v>
      </c>
      <c r="C80" s="8">
        <f>ABS(-0.00090394859)</f>
        <v>9.0394859000000004E-4</v>
      </c>
      <c r="D80" s="8">
        <f t="shared" si="3"/>
        <v>6.9847691000000001E-5</v>
      </c>
      <c r="E80" s="9">
        <f t="shared" si="4"/>
        <v>1.2941710413877532</v>
      </c>
      <c r="F80" s="10">
        <f t="shared" si="5"/>
        <v>69.847690999999998</v>
      </c>
    </row>
    <row r="81" spans="1:6" x14ac:dyDescent="0.3">
      <c r="A81" s="7">
        <v>0.73</v>
      </c>
      <c r="B81" s="8">
        <f>ABS(0.00068945627)</f>
        <v>6.8945626999999997E-4</v>
      </c>
      <c r="C81" s="8">
        <f>ABS(-0.00090018054)</f>
        <v>9.0018054E-4</v>
      </c>
      <c r="D81" s="8">
        <f t="shared" si="3"/>
        <v>6.8945627E-5</v>
      </c>
      <c r="E81" s="9">
        <f t="shared" si="4"/>
        <v>1.3056383401952383</v>
      </c>
      <c r="F81" s="10">
        <f t="shared" si="5"/>
        <v>68.945627000000002</v>
      </c>
    </row>
    <row r="82" spans="1:6" x14ac:dyDescent="0.3">
      <c r="A82" s="7">
        <v>0.74</v>
      </c>
      <c r="B82" s="8">
        <f>ABS(0.00068047348)</f>
        <v>6.8047348000000005E-4</v>
      </c>
      <c r="C82" s="8">
        <f>ABS(-0.00089637713)</f>
        <v>8.9637712999999998E-4</v>
      </c>
      <c r="D82" s="8">
        <f t="shared" si="3"/>
        <v>6.8047347999999999E-5</v>
      </c>
      <c r="E82" s="9">
        <f t="shared" si="4"/>
        <v>1.3172844443548335</v>
      </c>
      <c r="F82" s="10">
        <f t="shared" si="5"/>
        <v>68.047348</v>
      </c>
    </row>
    <row r="83" spans="1:6" x14ac:dyDescent="0.3">
      <c r="A83" s="7">
        <v>0.75</v>
      </c>
      <c r="B83" s="8">
        <f>ABS(0.0006715289)</f>
        <v>6.7152889999999999E-4</v>
      </c>
      <c r="C83" s="8">
        <f>ABS(-0.00089253814)</f>
        <v>8.9253813999999999E-4</v>
      </c>
      <c r="D83" s="8">
        <f t="shared" si="3"/>
        <v>6.7152890000000005E-5</v>
      </c>
      <c r="E83" s="9">
        <f t="shared" si="4"/>
        <v>1.3291135199095676</v>
      </c>
      <c r="F83" s="10">
        <f t="shared" si="5"/>
        <v>67.152889999999999</v>
      </c>
    </row>
    <row r="84" spans="1:6" x14ac:dyDescent="0.3">
      <c r="A84" s="7">
        <v>0.76</v>
      </c>
      <c r="B84" s="8">
        <f>ABS(0.00066262289)</f>
        <v>6.6262288999999999E-4</v>
      </c>
      <c r="C84" s="8">
        <f>ABS(-0.00088866335)</f>
        <v>8.8866335000000005E-4</v>
      </c>
      <c r="D84" s="8">
        <f t="shared" si="3"/>
        <v>6.6262288999999994E-5</v>
      </c>
      <c r="E84" s="9">
        <f t="shared" si="4"/>
        <v>1.3411298695099412</v>
      </c>
      <c r="F84" s="10">
        <f t="shared" si="5"/>
        <v>66.262288999999996</v>
      </c>
    </row>
    <row r="85" spans="1:6" x14ac:dyDescent="0.3">
      <c r="A85" s="7">
        <v>0.77</v>
      </c>
      <c r="B85" s="8">
        <f>ABS(0.00065375581)</f>
        <v>6.5375581000000002E-4</v>
      </c>
      <c r="C85" s="8">
        <f>ABS(-0.00088475256)</f>
        <v>8.8475255999999997E-4</v>
      </c>
      <c r="D85" s="8">
        <f t="shared" si="3"/>
        <v>6.5375580999999999E-5</v>
      </c>
      <c r="E85" s="9">
        <f t="shared" si="4"/>
        <v>1.3533379688052025</v>
      </c>
      <c r="F85" s="10">
        <f t="shared" si="5"/>
        <v>65.375580999999997</v>
      </c>
    </row>
    <row r="86" spans="1:6" x14ac:dyDescent="0.3">
      <c r="A86" s="7">
        <v>0.78</v>
      </c>
      <c r="B86" s="8">
        <f>ABS(0.00064492802)</f>
        <v>6.4492802000000004E-4</v>
      </c>
      <c r="C86" s="8">
        <f>ABS(-0.00088080553)</f>
        <v>8.8080552999999996E-4</v>
      </c>
      <c r="D86" s="8">
        <f t="shared" si="3"/>
        <v>6.4492801999999999E-5</v>
      </c>
      <c r="E86" s="9">
        <f t="shared" si="4"/>
        <v>1.3657423816071752</v>
      </c>
      <c r="F86" s="10">
        <f t="shared" si="5"/>
        <v>64.492801999999998</v>
      </c>
    </row>
    <row r="87" spans="1:6" x14ac:dyDescent="0.3">
      <c r="A87" s="7">
        <v>0.79</v>
      </c>
      <c r="B87" s="8">
        <f>ABS(0.00063613988)</f>
        <v>6.3613988000000004E-4</v>
      </c>
      <c r="C87" s="8">
        <f>ABS(-0.00087682205)</f>
        <v>8.7682204999999999E-4</v>
      </c>
      <c r="D87" s="8">
        <f t="shared" si="3"/>
        <v>6.3613987999999998E-5</v>
      </c>
      <c r="E87" s="9">
        <f t="shared" si="4"/>
        <v>1.3783478721692468</v>
      </c>
      <c r="F87" s="10">
        <f t="shared" si="5"/>
        <v>63.613987999999999</v>
      </c>
    </row>
    <row r="88" spans="1:6" x14ac:dyDescent="0.3">
      <c r="A88" s="7">
        <v>0.8</v>
      </c>
      <c r="B88" s="8">
        <f>ABS(0.00062739177)</f>
        <v>6.2739177E-4</v>
      </c>
      <c r="C88" s="8">
        <f>ABS(-0.0008728019)</f>
        <v>8.7280189999999996E-4</v>
      </c>
      <c r="D88" s="8">
        <f t="shared" si="3"/>
        <v>6.2739176999999994E-5</v>
      </c>
      <c r="E88" s="9">
        <f t="shared" si="4"/>
        <v>1.3911593070466959</v>
      </c>
      <c r="F88" s="10">
        <f t="shared" si="5"/>
        <v>62.739176999999991</v>
      </c>
    </row>
    <row r="89" spans="1:6" x14ac:dyDescent="0.3">
      <c r="A89" s="7">
        <v>0.81</v>
      </c>
      <c r="B89" s="8">
        <f>ABS(0.00061868403)</f>
        <v>6.1868402999999998E-4</v>
      </c>
      <c r="C89" s="8">
        <f>ABS(-0.00086874485)</f>
        <v>8.6874485000000003E-4</v>
      </c>
      <c r="D89" s="8">
        <f t="shared" si="3"/>
        <v>6.1868403E-5</v>
      </c>
      <c r="E89" s="9">
        <f t="shared" si="4"/>
        <v>1.4041817921176987</v>
      </c>
      <c r="F89" s="10">
        <f t="shared" si="5"/>
        <v>61.868403000000001</v>
      </c>
    </row>
    <row r="90" spans="1:6" x14ac:dyDescent="0.3">
      <c r="A90" s="7">
        <v>0.82</v>
      </c>
      <c r="B90" s="8">
        <f>ABS(0.00061001705)</f>
        <v>6.1001705000000004E-4</v>
      </c>
      <c r="C90" s="8">
        <f>ABS(-0.00086465067)</f>
        <v>8.6465067000000004E-4</v>
      </c>
      <c r="D90" s="8">
        <f t="shared" si="3"/>
        <v>6.1001705000000003E-5</v>
      </c>
      <c r="E90" s="9">
        <f t="shared" si="4"/>
        <v>1.4174204966893957</v>
      </c>
      <c r="F90" s="10">
        <f t="shared" si="5"/>
        <v>61.001705000000001</v>
      </c>
    </row>
    <row r="91" spans="1:6" x14ac:dyDescent="0.3">
      <c r="A91" s="7">
        <v>0.83</v>
      </c>
      <c r="B91" s="8">
        <f>ABS(0.0006013912)</f>
        <v>6.0139120000000002E-4</v>
      </c>
      <c r="C91" s="8">
        <f>ABS(-0.00086051914)</f>
        <v>8.6051914E-4</v>
      </c>
      <c r="D91" s="8">
        <f t="shared" si="3"/>
        <v>6.0139120000000003E-5</v>
      </c>
      <c r="E91" s="9">
        <f t="shared" si="4"/>
        <v>1.4308808309799013</v>
      </c>
      <c r="F91" s="10">
        <f t="shared" si="5"/>
        <v>60.139120000000005</v>
      </c>
    </row>
    <row r="92" spans="1:6" x14ac:dyDescent="0.3">
      <c r="A92" s="7">
        <v>0.84</v>
      </c>
      <c r="B92" s="8">
        <f>ABS(0.00059280686)</f>
        <v>5.9280686000000001E-4</v>
      </c>
      <c r="C92" s="8">
        <f>ABS(-0.00085635003)</f>
        <v>8.5635002999999996E-4</v>
      </c>
      <c r="D92" s="8">
        <f t="shared" si="3"/>
        <v>5.9280685999999998E-5</v>
      </c>
      <c r="E92" s="9">
        <f t="shared" si="4"/>
        <v>1.4445683540166858</v>
      </c>
      <c r="F92" s="10">
        <f t="shared" si="5"/>
        <v>59.280685999999996</v>
      </c>
    </row>
    <row r="93" spans="1:6" x14ac:dyDescent="0.3">
      <c r="A93" s="7">
        <v>0.85</v>
      </c>
      <c r="B93" s="8">
        <f>ABS(0.00058426439)</f>
        <v>5.8426438999999999E-4</v>
      </c>
      <c r="C93" s="8">
        <f>ABS(-0.00085214309)</f>
        <v>8.5214309000000005E-4</v>
      </c>
      <c r="D93" s="8">
        <f t="shared" si="3"/>
        <v>5.8426439E-5</v>
      </c>
      <c r="E93" s="9">
        <f t="shared" si="4"/>
        <v>1.4584888358504957</v>
      </c>
      <c r="F93" s="10">
        <f t="shared" si="5"/>
        <v>58.426439000000002</v>
      </c>
    </row>
    <row r="94" spans="1:6" x14ac:dyDescent="0.3">
      <c r="A94" s="7">
        <v>0.86</v>
      </c>
      <c r="B94" s="8">
        <f>ABS(0.00057576419)</f>
        <v>5.7576418999999998E-4</v>
      </c>
      <c r="C94" s="8">
        <f>ABS(-0.00084789811)</f>
        <v>8.4789811000000003E-4</v>
      </c>
      <c r="D94" s="8">
        <f t="shared" si="3"/>
        <v>5.7576418999999998E-5</v>
      </c>
      <c r="E94" s="9">
        <f t="shared" si="4"/>
        <v>1.4726482207933078</v>
      </c>
      <c r="F94" s="10">
        <f t="shared" si="5"/>
        <v>57.576419000000001</v>
      </c>
    </row>
    <row r="95" spans="1:6" x14ac:dyDescent="0.3">
      <c r="A95" s="7">
        <v>0.87</v>
      </c>
      <c r="B95" s="8">
        <f>ABS(0.00056730662)</f>
        <v>5.6730661999999997E-4</v>
      </c>
      <c r="C95" s="8">
        <f>ABS(-0.00084361484)</f>
        <v>8.4361484000000002E-4</v>
      </c>
      <c r="D95" s="8">
        <f t="shared" si="3"/>
        <v>5.6730661999999998E-5</v>
      </c>
      <c r="E95" s="9">
        <f t="shared" si="4"/>
        <v>1.4870526982392698</v>
      </c>
      <c r="F95" s="10">
        <f t="shared" si="5"/>
        <v>56.730661999999995</v>
      </c>
    </row>
    <row r="96" spans="1:6" x14ac:dyDescent="0.3">
      <c r="A96" s="7">
        <v>0.88</v>
      </c>
      <c r="B96" s="8">
        <f>ABS(0.00055889208)</f>
        <v>5.5889207999999997E-4</v>
      </c>
      <c r="C96" s="8">
        <f>ABS(-0.00083929305)</f>
        <v>8.3929304999999998E-4</v>
      </c>
      <c r="D96" s="8">
        <f t="shared" si="3"/>
        <v>5.5889207999999995E-5</v>
      </c>
      <c r="E96" s="9">
        <f t="shared" si="4"/>
        <v>1.5017086125106658</v>
      </c>
      <c r="F96" s="10">
        <f t="shared" si="5"/>
        <v>55.889207999999996</v>
      </c>
    </row>
    <row r="97" spans="1:6" x14ac:dyDescent="0.3">
      <c r="A97" s="7">
        <v>0.89</v>
      </c>
      <c r="B97" s="8">
        <f>ABS(0.00055052096)</f>
        <v>5.5052096000000005E-4</v>
      </c>
      <c r="C97" s="8">
        <f>ABS(-0.00083493249)</f>
        <v>8.3493249000000003E-4</v>
      </c>
      <c r="D97" s="8">
        <f t="shared" si="3"/>
        <v>5.5052096000000003E-5</v>
      </c>
      <c r="E97" s="9">
        <f t="shared" si="4"/>
        <v>1.5166225278688752</v>
      </c>
      <c r="F97" s="10">
        <f t="shared" si="5"/>
        <v>55.052096000000006</v>
      </c>
    </row>
    <row r="98" spans="1:6" x14ac:dyDescent="0.3">
      <c r="A98" s="7">
        <v>0.9</v>
      </c>
      <c r="B98" s="8">
        <f>ABS(0.00054219363)</f>
        <v>5.4219363000000003E-4</v>
      </c>
      <c r="C98" s="8">
        <f>ABS(-0.00083053292)</f>
        <v>8.3053292000000005E-4</v>
      </c>
      <c r="D98" s="8">
        <f t="shared" si="3"/>
        <v>5.4219363000000003E-5</v>
      </c>
      <c r="E98" s="9">
        <f t="shared" si="4"/>
        <v>1.5318013234497057</v>
      </c>
      <c r="F98" s="10">
        <f t="shared" si="5"/>
        <v>54.219363000000001</v>
      </c>
    </row>
    <row r="99" spans="1:6" x14ac:dyDescent="0.3">
      <c r="A99" s="7">
        <v>0.91</v>
      </c>
      <c r="B99" s="8">
        <f>ABS(0.00053391049)</f>
        <v>5.3391048999999996E-4</v>
      </c>
      <c r="C99" s="8">
        <f>ABS(-0.00082609411)</f>
        <v>8.2609410999999998E-4</v>
      </c>
      <c r="D99" s="8">
        <f t="shared" si="3"/>
        <v>5.3391048999999998E-5</v>
      </c>
      <c r="E99" s="9">
        <f t="shared" si="4"/>
        <v>1.5472520684131905</v>
      </c>
      <c r="F99" s="10">
        <f t="shared" si="5"/>
        <v>53.391048999999995</v>
      </c>
    </row>
    <row r="100" spans="1:6" x14ac:dyDescent="0.3">
      <c r="A100" s="7">
        <v>0.92</v>
      </c>
      <c r="B100" s="8">
        <f>ABS(0.00052567194)</f>
        <v>5.2567193999999995E-4</v>
      </c>
      <c r="C100" s="8">
        <f>ABS(-0.00082161581)</f>
        <v>8.2161580999999995E-4</v>
      </c>
      <c r="D100" s="8">
        <f t="shared" si="3"/>
        <v>5.2567193999999997E-5</v>
      </c>
      <c r="E100" s="9">
        <f t="shared" si="4"/>
        <v>1.5629820568318713</v>
      </c>
      <c r="F100" s="10">
        <f t="shared" si="5"/>
        <v>52.567194000000001</v>
      </c>
    </row>
    <row r="101" spans="1:6" x14ac:dyDescent="0.3">
      <c r="A101" s="7">
        <v>0.93</v>
      </c>
      <c r="B101" s="8">
        <f>ABS(0.00051747838)</f>
        <v>5.1747838000000003E-4</v>
      </c>
      <c r="C101" s="8">
        <f>ABS(-0.00081709776)</f>
        <v>8.1709776000000003E-4</v>
      </c>
      <c r="D101" s="8">
        <f t="shared" si="3"/>
        <v>5.1747838000000003E-5</v>
      </c>
      <c r="E101" s="9">
        <f t="shared" si="4"/>
        <v>1.5789988366277254</v>
      </c>
      <c r="F101" s="10">
        <f t="shared" si="5"/>
        <v>51.747838000000002</v>
      </c>
    </row>
    <row r="102" spans="1:6" x14ac:dyDescent="0.3">
      <c r="A102" s="7">
        <v>0.94</v>
      </c>
      <c r="B102" s="8">
        <f>ABS(0.00050933019)</f>
        <v>5.0933019E-4</v>
      </c>
      <c r="C102" s="8">
        <f>ABS(-0.00081253973)</f>
        <v>8.1253973000000005E-4</v>
      </c>
      <c r="D102" s="8">
        <f t="shared" si="3"/>
        <v>5.0933019E-5</v>
      </c>
      <c r="E102" s="9">
        <f t="shared" si="4"/>
        <v>1.5953103624193179</v>
      </c>
      <c r="F102" s="10">
        <f t="shared" si="5"/>
        <v>50.933019000000002</v>
      </c>
    </row>
    <row r="103" spans="1:6" x14ac:dyDescent="0.3">
      <c r="A103" s="7">
        <v>0.95</v>
      </c>
      <c r="B103" s="8">
        <f>ABS(0.00050122778)</f>
        <v>5.0122777999999995E-4</v>
      </c>
      <c r="C103" s="8">
        <f>ABS(-0.00080794145)</f>
        <v>8.0794145E-4</v>
      </c>
      <c r="D103" s="8">
        <f t="shared" si="3"/>
        <v>5.0122777999999994E-5</v>
      </c>
      <c r="E103" s="9">
        <f t="shared" si="4"/>
        <v>1.6119247221293282</v>
      </c>
      <c r="F103" s="10">
        <f t="shared" si="5"/>
        <v>50.122777999999997</v>
      </c>
    </row>
    <row r="104" spans="1:6" x14ac:dyDescent="0.3">
      <c r="A104" s="7">
        <v>0.96</v>
      </c>
      <c r="B104" s="8">
        <f>ABS(0.00049317156)</f>
        <v>4.9317155999999997E-4</v>
      </c>
      <c r="C104" s="8">
        <f>ABS(-0.00080330269)</f>
        <v>8.0330269000000005E-4</v>
      </c>
      <c r="D104" s="8">
        <f t="shared" si="3"/>
        <v>4.9317155999999996E-5</v>
      </c>
      <c r="E104" s="9">
        <f t="shared" si="4"/>
        <v>1.6288503943739174</v>
      </c>
      <c r="F104" s="10">
        <f t="shared" si="5"/>
        <v>49.317155999999997</v>
      </c>
    </row>
    <row r="105" spans="1:6" x14ac:dyDescent="0.3">
      <c r="A105" s="7">
        <v>0.97</v>
      </c>
      <c r="B105" s="8">
        <f>ABS(0.00048516193)</f>
        <v>4.8516192999999998E-4</v>
      </c>
      <c r="C105" s="8">
        <f>ABS(-0.00079862319)</f>
        <v>7.9862319000000004E-4</v>
      </c>
      <c r="D105" s="8">
        <f t="shared" si="3"/>
        <v>4.8516192999999996E-5</v>
      </c>
      <c r="E105" s="9">
        <f t="shared" si="4"/>
        <v>1.6460961601006081</v>
      </c>
      <c r="F105" s="10">
        <f t="shared" si="5"/>
        <v>48.516192999999994</v>
      </c>
    </row>
    <row r="106" spans="1:6" x14ac:dyDescent="0.3">
      <c r="A106" s="7">
        <v>0.98</v>
      </c>
      <c r="B106" s="8">
        <f>ABS(0.0004771993)</f>
        <v>4.7719929999999998E-4</v>
      </c>
      <c r="C106" s="8">
        <f>ABS(-0.00079390269)</f>
        <v>7.9390269000000004E-4</v>
      </c>
      <c r="D106" s="8">
        <f t="shared" si="3"/>
        <v>4.7719929999999999E-5</v>
      </c>
      <c r="E106" s="9">
        <f t="shared" si="4"/>
        <v>1.6636711118394349</v>
      </c>
      <c r="F106" s="10">
        <f t="shared" si="5"/>
        <v>47.719929999999998</v>
      </c>
    </row>
    <row r="107" spans="1:6" x14ac:dyDescent="0.3">
      <c r="A107" s="7">
        <v>0.99</v>
      </c>
      <c r="B107" s="8">
        <f>ABS(0.00046928408)</f>
        <v>4.6928407999999999E-4</v>
      </c>
      <c r="C107" s="8">
        <f>ABS(-0.00078914094)</f>
        <v>7.8914093999999995E-4</v>
      </c>
      <c r="D107" s="8">
        <f t="shared" si="3"/>
        <v>4.6928407999999998E-5</v>
      </c>
      <c r="E107" s="9">
        <f t="shared" si="4"/>
        <v>1.68158472369231</v>
      </c>
      <c r="F107" s="10">
        <f t="shared" si="5"/>
        <v>46.928407999999997</v>
      </c>
    </row>
    <row r="108" spans="1:6" x14ac:dyDescent="0.3">
      <c r="A108" s="7">
        <v>1</v>
      </c>
      <c r="B108" s="8">
        <f>ABS(0.00046141669)</f>
        <v>4.6141668999999998E-4</v>
      </c>
      <c r="C108" s="8">
        <f>ABS(-0.00078433767)</f>
        <v>7.8433767E-4</v>
      </c>
      <c r="D108" s="8">
        <f t="shared" si="3"/>
        <v>4.6141669000000001E-5</v>
      </c>
      <c r="E108" s="9">
        <f t="shared" si="4"/>
        <v>1.6998467697386499</v>
      </c>
      <c r="F108" s="10">
        <f t="shared" si="5"/>
        <v>46.141669</v>
      </c>
    </row>
    <row r="109" spans="1:6" x14ac:dyDescent="0.3">
      <c r="A109" s="7">
        <v>1.01</v>
      </c>
      <c r="B109" s="8">
        <f>ABS(0.00045359754)</f>
        <v>4.5359753999999998E-4</v>
      </c>
      <c r="C109" s="8">
        <f>ABS(-0.00077949264)</f>
        <v>7.7949263999999995E-4</v>
      </c>
      <c r="D109" s="8">
        <f t="shared" si="3"/>
        <v>4.5359754E-5</v>
      </c>
      <c r="E109" s="9">
        <f t="shared" si="4"/>
        <v>1.7184675207894646</v>
      </c>
      <c r="F109" s="10">
        <f t="shared" si="5"/>
        <v>45.359754000000002</v>
      </c>
    </row>
    <row r="110" spans="1:6" x14ac:dyDescent="0.3">
      <c r="A110" s="7">
        <v>1.02</v>
      </c>
      <c r="B110" s="8">
        <f>ABS(0.00044582705)</f>
        <v>4.4582705E-4</v>
      </c>
      <c r="C110" s="8">
        <f>ABS(-0.00077460557)</f>
        <v>7.7460557000000004E-4</v>
      </c>
      <c r="D110" s="8">
        <f t="shared" si="3"/>
        <v>4.4582705000000003E-5</v>
      </c>
      <c r="E110" s="9">
        <f t="shared" si="4"/>
        <v>1.737457540990391</v>
      </c>
      <c r="F110" s="10">
        <f t="shared" si="5"/>
        <v>44.582705000000004</v>
      </c>
    </row>
    <row r="111" spans="1:6" x14ac:dyDescent="0.3">
      <c r="A111" s="7">
        <v>1.03</v>
      </c>
      <c r="B111" s="8">
        <f>ABS(0.00043810564)</f>
        <v>4.3810563999999998E-4</v>
      </c>
      <c r="C111" s="8">
        <f>ABS(-0.00076967621)</f>
        <v>7.6967620999999998E-4</v>
      </c>
      <c r="D111" s="8">
        <f t="shared" si="3"/>
        <v>4.3810563999999998E-5</v>
      </c>
      <c r="E111" s="9">
        <f t="shared" si="4"/>
        <v>1.7568278965776383</v>
      </c>
      <c r="F111" s="10">
        <f t="shared" si="5"/>
        <v>43.810563999999999</v>
      </c>
    </row>
    <row r="112" spans="1:6" x14ac:dyDescent="0.3">
      <c r="A112" s="7">
        <v>1.04</v>
      </c>
      <c r="B112" s="8">
        <f>ABS(0.00043043374)</f>
        <v>4.3043374E-4</v>
      </c>
      <c r="C112" s="8">
        <f>ABS(-0.00076470429)</f>
        <v>7.6470428999999998E-4</v>
      </c>
      <c r="D112" s="8">
        <f t="shared" si="3"/>
        <v>4.3043373999999997E-5</v>
      </c>
      <c r="E112" s="9">
        <f t="shared" si="4"/>
        <v>1.7765900275382687</v>
      </c>
      <c r="F112" s="10">
        <f t="shared" si="5"/>
        <v>43.043374</v>
      </c>
    </row>
    <row r="113" spans="1:6" x14ac:dyDescent="0.3">
      <c r="A113" s="7">
        <v>1.05</v>
      </c>
      <c r="B113" s="8">
        <f>ABS(0.00042281177)</f>
        <v>4.2281177E-4</v>
      </c>
      <c r="C113" s="8">
        <f>ABS(-0.00075968955)</f>
        <v>7.5968954999999999E-4</v>
      </c>
      <c r="D113" s="8">
        <f t="shared" si="3"/>
        <v>4.2281177000000001E-5</v>
      </c>
      <c r="E113" s="9">
        <f t="shared" si="4"/>
        <v>1.7967559181240389</v>
      </c>
      <c r="F113" s="10">
        <f t="shared" si="5"/>
        <v>42.281177</v>
      </c>
    </row>
    <row r="114" spans="1:6" x14ac:dyDescent="0.3">
      <c r="A114" s="7">
        <v>1.06</v>
      </c>
      <c r="B114" s="8">
        <f>ABS(0.00041524016)</f>
        <v>4.1524016E-4</v>
      </c>
      <c r="C114" s="8">
        <f>ABS(-0.00075463172)</f>
        <v>7.5463172000000002E-4</v>
      </c>
      <c r="D114" s="8">
        <f t="shared" si="3"/>
        <v>4.1524016000000001E-5</v>
      </c>
      <c r="E114" s="9">
        <f t="shared" si="4"/>
        <v>1.8173379954385915</v>
      </c>
      <c r="F114" s="10">
        <f t="shared" si="5"/>
        <v>41.524016000000003</v>
      </c>
    </row>
    <row r="115" spans="1:6" x14ac:dyDescent="0.3">
      <c r="A115" s="7">
        <v>1.07</v>
      </c>
      <c r="B115" s="8">
        <f>ABS(0.00040771935)</f>
        <v>4.0771934999999997E-4</v>
      </c>
      <c r="C115" s="8">
        <f>ABS(-0.00074953054)</f>
        <v>7.4953054E-4</v>
      </c>
      <c r="D115" s="8">
        <f t="shared" si="3"/>
        <v>4.0771934999999997E-5</v>
      </c>
      <c r="E115" s="9">
        <f t="shared" si="4"/>
        <v>1.8383491977999082</v>
      </c>
      <c r="F115" s="10">
        <f t="shared" si="5"/>
        <v>40.771934999999999</v>
      </c>
    </row>
    <row r="116" spans="1:6" x14ac:dyDescent="0.3">
      <c r="A116" s="7">
        <v>1.08</v>
      </c>
      <c r="B116" s="8">
        <f>ABS(0.00040024977)</f>
        <v>4.0024977E-4</v>
      </c>
      <c r="C116" s="8">
        <f>ABS(-0.00074438573)</f>
        <v>7.4438572999999998E-4</v>
      </c>
      <c r="D116" s="8">
        <f t="shared" si="3"/>
        <v>4.0024977000000001E-5</v>
      </c>
      <c r="E116" s="9">
        <f t="shared" si="4"/>
        <v>1.8598030175007971</v>
      </c>
      <c r="F116" s="10">
        <f t="shared" si="5"/>
        <v>40.024977</v>
      </c>
    </row>
    <row r="117" spans="1:6" x14ac:dyDescent="0.3">
      <c r="A117" s="7">
        <v>1.0900000000000001</v>
      </c>
      <c r="B117" s="8">
        <f>ABS(0.00039283186)</f>
        <v>3.9283185999999999E-4</v>
      </c>
      <c r="C117" s="8">
        <f>ABS(-0.00073919703)</f>
        <v>7.3919703000000002E-4</v>
      </c>
      <c r="D117" s="8">
        <f t="shared" si="3"/>
        <v>3.9283185999999999E-5</v>
      </c>
      <c r="E117" s="9">
        <f t="shared" si="4"/>
        <v>1.8817135402408554</v>
      </c>
      <c r="F117" s="10">
        <f t="shared" si="5"/>
        <v>39.283186000000001</v>
      </c>
    </row>
    <row r="118" spans="1:6" x14ac:dyDescent="0.3">
      <c r="A118" s="7">
        <v>1.1000000000000001</v>
      </c>
      <c r="B118" s="8">
        <f>ABS(0.00038546605)</f>
        <v>3.8546605000000002E-4</v>
      </c>
      <c r="C118" s="8">
        <f>ABS(-0.00073396416)</f>
        <v>7.3396416000000005E-4</v>
      </c>
      <c r="D118" s="8">
        <f t="shared" si="3"/>
        <v>3.8546605000000002E-5</v>
      </c>
      <c r="E118" s="9">
        <f t="shared" si="4"/>
        <v>1.9040954709240931</v>
      </c>
      <c r="F118" s="10">
        <f t="shared" si="5"/>
        <v>38.546605</v>
      </c>
    </row>
    <row r="119" spans="1:6" x14ac:dyDescent="0.3">
      <c r="A119" s="7">
        <v>1.1100000000000001</v>
      </c>
      <c r="B119" s="8">
        <f>ABS(0.00037815279)</f>
        <v>3.7815279000000002E-4</v>
      </c>
      <c r="C119" s="8">
        <f>ABS(-0.00072868686)</f>
        <v>7.2868686000000002E-4</v>
      </c>
      <c r="D119" s="8">
        <f t="shared" si="3"/>
        <v>3.7815278999999999E-5</v>
      </c>
      <c r="E119" s="9">
        <f t="shared" si="4"/>
        <v>1.9269641247391034</v>
      </c>
      <c r="F119" s="10">
        <f t="shared" si="5"/>
        <v>37.815278999999997</v>
      </c>
    </row>
    <row r="120" spans="1:6" x14ac:dyDescent="0.3">
      <c r="A120" s="7">
        <v>1.1200000000000001</v>
      </c>
      <c r="B120" s="8">
        <f>ABS(0.00037089254)</f>
        <v>3.7089254000000001E-4</v>
      </c>
      <c r="C120" s="8">
        <f>ABS(-0.00072336485)</f>
        <v>7.2336484999999996E-4</v>
      </c>
      <c r="D120" s="8">
        <f t="shared" si="3"/>
        <v>3.7089253999999998E-5</v>
      </c>
      <c r="E120" s="9">
        <f t="shared" si="4"/>
        <v>1.9503353990349872</v>
      </c>
      <c r="F120" s="10">
        <f t="shared" si="5"/>
        <v>37.089253999999997</v>
      </c>
    </row>
    <row r="121" spans="1:6" x14ac:dyDescent="0.3">
      <c r="A121" s="7">
        <v>1.1299999999999999</v>
      </c>
      <c r="B121" s="8">
        <f>ABS(0.00036368572)</f>
        <v>3.6368571999999998E-4</v>
      </c>
      <c r="C121" s="8">
        <f>ABS(-0.00071799786)</f>
        <v>7.1799785999999998E-4</v>
      </c>
      <c r="D121" s="8">
        <f t="shared" si="3"/>
        <v>3.6368571999999999E-5</v>
      </c>
      <c r="E121" s="9">
        <f t="shared" si="4"/>
        <v>1.9742261532842147</v>
      </c>
      <c r="F121" s="10">
        <f t="shared" si="5"/>
        <v>36.368572</v>
      </c>
    </row>
    <row r="122" spans="1:6" x14ac:dyDescent="0.3">
      <c r="A122" s="7">
        <v>1.1399999999999999</v>
      </c>
      <c r="B122" s="8">
        <f>ABS(0.00035653281)</f>
        <v>3.5653281000000002E-4</v>
      </c>
      <c r="C122" s="8">
        <f>ABS(-0.00071258562)</f>
        <v>7.1258561999999997E-4</v>
      </c>
      <c r="D122" s="8">
        <f t="shared" si="3"/>
        <v>3.5653281000000001E-5</v>
      </c>
      <c r="E122" s="9">
        <f t="shared" si="4"/>
        <v>1.9986537003424731</v>
      </c>
      <c r="F122" s="10">
        <f t="shared" si="5"/>
        <v>35.653281</v>
      </c>
    </row>
    <row r="123" spans="1:6" x14ac:dyDescent="0.3">
      <c r="A123" s="7">
        <v>1.1499999999999999</v>
      </c>
      <c r="B123" s="8">
        <f>ABS(0.00034943424)</f>
        <v>3.4943423999999999E-4</v>
      </c>
      <c r="C123" s="8">
        <f>ABS(-0.00070712785)</f>
        <v>7.0712784999999996E-4</v>
      </c>
      <c r="D123" s="8">
        <f t="shared" si="3"/>
        <v>3.4943424000000001E-5</v>
      </c>
      <c r="E123" s="9">
        <f t="shared" si="4"/>
        <v>2.0236364072393136</v>
      </c>
      <c r="F123" s="10">
        <f t="shared" si="5"/>
        <v>34.943424</v>
      </c>
    </row>
    <row r="124" spans="1:6" x14ac:dyDescent="0.3">
      <c r="A124" s="7">
        <v>1.1599999999999999</v>
      </c>
      <c r="B124" s="8">
        <f>ABS(0.00034239048)</f>
        <v>3.4239048000000001E-4</v>
      </c>
      <c r="C124" s="8">
        <f>ABS(-0.00070162427)</f>
        <v>7.0162426999999998E-4</v>
      </c>
      <c r="D124" s="8">
        <f t="shared" si="3"/>
        <v>3.4239048E-5</v>
      </c>
      <c r="E124" s="9">
        <f t="shared" si="4"/>
        <v>2.0491932778037518</v>
      </c>
      <c r="F124" s="10">
        <f t="shared" si="5"/>
        <v>34.239047999999997</v>
      </c>
    </row>
    <row r="125" spans="1:6" x14ac:dyDescent="0.3">
      <c r="A125" s="7">
        <v>1.17</v>
      </c>
      <c r="B125" s="8">
        <f>ABS(0.00033540198)</f>
        <v>3.3540198000000002E-4</v>
      </c>
      <c r="C125" s="8">
        <f>ABS(-0.00069607461)</f>
        <v>6.9607461000000003E-4</v>
      </c>
      <c r="D125" s="8">
        <f t="shared" si="3"/>
        <v>3.3540198000000002E-5</v>
      </c>
      <c r="E125" s="9">
        <f t="shared" si="4"/>
        <v>2.0753443673767222</v>
      </c>
      <c r="F125" s="10">
        <f t="shared" si="5"/>
        <v>33.540198000000004</v>
      </c>
    </row>
    <row r="126" spans="1:6" x14ac:dyDescent="0.3">
      <c r="A126" s="7">
        <v>1.18</v>
      </c>
      <c r="B126" s="8">
        <f>ABS(0.00032846922)</f>
        <v>3.2846922E-4</v>
      </c>
      <c r="C126" s="8">
        <f>ABS(-0.0006904786)</f>
        <v>6.904786E-4</v>
      </c>
      <c r="D126" s="8">
        <f t="shared" si="3"/>
        <v>3.2846921999999999E-5</v>
      </c>
      <c r="E126" s="9">
        <f t="shared" si="4"/>
        <v>2.1021105112984406</v>
      </c>
      <c r="F126" s="10">
        <f t="shared" si="5"/>
        <v>32.846921999999999</v>
      </c>
    </row>
    <row r="127" spans="1:6" x14ac:dyDescent="0.3">
      <c r="A127" s="7">
        <v>1.19</v>
      </c>
      <c r="B127" s="8">
        <f>ABS(0.00032159264)</f>
        <v>3.2159263999999998E-4</v>
      </c>
      <c r="C127" s="8">
        <f>ABS(-0.00068483596)</f>
        <v>6.8483596000000002E-4</v>
      </c>
      <c r="D127" s="8">
        <f t="shared" si="3"/>
        <v>3.2159263999999997E-5</v>
      </c>
      <c r="E127" s="9">
        <f t="shared" si="4"/>
        <v>2.1295137848925898</v>
      </c>
      <c r="F127" s="10">
        <f t="shared" si="5"/>
        <v>32.159264</v>
      </c>
    </row>
    <row r="128" spans="1:6" x14ac:dyDescent="0.3">
      <c r="A128" s="7">
        <v>1.2</v>
      </c>
      <c r="B128" s="8">
        <f>ABS(0.00031477273)</f>
        <v>3.1477273000000001E-4</v>
      </c>
      <c r="C128" s="8">
        <f>ABS(-0.00067914642)</f>
        <v>6.7914641999999999E-4</v>
      </c>
      <c r="D128" s="8">
        <f t="shared" si="3"/>
        <v>3.1477273000000004E-5</v>
      </c>
      <c r="E128" s="9">
        <f t="shared" si="4"/>
        <v>2.1575770556744227</v>
      </c>
      <c r="F128" s="10">
        <f t="shared" si="5"/>
        <v>31.477273000000004</v>
      </c>
    </row>
    <row r="129" spans="1:6" x14ac:dyDescent="0.3">
      <c r="A129" s="7">
        <v>1.21</v>
      </c>
      <c r="B129" s="8">
        <f>ABS(0.00030800995)</f>
        <v>3.0800994999999998E-4</v>
      </c>
      <c r="C129" s="8">
        <f>ABS(-0.00067340969)</f>
        <v>6.7340968999999998E-4</v>
      </c>
      <c r="D129" s="8">
        <f t="shared" si="3"/>
        <v>3.0800994999999998E-5</v>
      </c>
      <c r="E129" s="9">
        <f t="shared" si="4"/>
        <v>2.1863244677647589</v>
      </c>
      <c r="F129" s="10">
        <f t="shared" si="5"/>
        <v>30.800994999999997</v>
      </c>
    </row>
    <row r="130" spans="1:6" x14ac:dyDescent="0.3">
      <c r="A130" s="7">
        <v>1.22</v>
      </c>
      <c r="B130" s="8">
        <f>ABS(0.00030130478)</f>
        <v>3.0130477999999999E-4</v>
      </c>
      <c r="C130" s="8">
        <f>ABS(-0.00066762551)</f>
        <v>6.6762550999999995E-4</v>
      </c>
      <c r="D130" s="8">
        <f t="shared" si="3"/>
        <v>3.0130477999999999E-5</v>
      </c>
      <c r="E130" s="9">
        <f t="shared" si="4"/>
        <v>2.2157813427320998</v>
      </c>
      <c r="F130" s="10">
        <f t="shared" si="5"/>
        <v>30.130478</v>
      </c>
    </row>
    <row r="131" spans="1:6" x14ac:dyDescent="0.3">
      <c r="A131" s="7">
        <v>1.23</v>
      </c>
      <c r="B131" s="8">
        <f>ABS(0.00029465768)</f>
        <v>2.9465767999999997E-4</v>
      </c>
      <c r="C131" s="8">
        <f>ABS(-0.0006617936)</f>
        <v>6.6179360000000003E-4</v>
      </c>
      <c r="D131" s="8">
        <f t="shared" si="3"/>
        <v>2.9465767999999997E-5</v>
      </c>
      <c r="E131" s="9">
        <f t="shared" si="4"/>
        <v>2.2459743794901259</v>
      </c>
      <c r="F131" s="10">
        <f t="shared" si="5"/>
        <v>29.465767999999997</v>
      </c>
    </row>
    <row r="132" spans="1:6" x14ac:dyDescent="0.3">
      <c r="A132" s="7">
        <v>1.24</v>
      </c>
      <c r="B132" s="8">
        <f>ABS(0.00028806914)</f>
        <v>2.8806913999999999E-4</v>
      </c>
      <c r="C132" s="8">
        <f>ABS(-0.00065591368)</f>
        <v>6.5591368000000004E-4</v>
      </c>
      <c r="D132" s="8">
        <f t="shared" si="3"/>
        <v>2.8806913999999999E-5</v>
      </c>
      <c r="E132" s="9">
        <f t="shared" si="4"/>
        <v>2.2769314338911832</v>
      </c>
      <c r="F132" s="10">
        <f t="shared" si="5"/>
        <v>28.806913999999999</v>
      </c>
    </row>
    <row r="133" spans="1:6" x14ac:dyDescent="0.3">
      <c r="A133" s="7">
        <v>1.25</v>
      </c>
      <c r="B133" s="8">
        <f>ABS(0.00028153965)</f>
        <v>2.8153964999999998E-4</v>
      </c>
      <c r="C133" s="8">
        <f>ABS(-0.00064998548)</f>
        <v>6.4998547999999998E-4</v>
      </c>
      <c r="D133" s="8">
        <f t="shared" si="3"/>
        <v>2.8153964999999999E-5</v>
      </c>
      <c r="E133" s="9">
        <f t="shared" si="4"/>
        <v>2.3086818499632291</v>
      </c>
      <c r="F133" s="10">
        <f t="shared" si="5"/>
        <v>28.153964999999999</v>
      </c>
    </row>
    <row r="134" spans="1:6" x14ac:dyDescent="0.3">
      <c r="A134" s="7">
        <v>1.26</v>
      </c>
      <c r="B134" s="8">
        <f>ABS(0.00027506968)</f>
        <v>2.7506968000000001E-4</v>
      </c>
      <c r="C134" s="8">
        <f>ABS(-0.00064400874)</f>
        <v>6.4400874000000003E-4</v>
      </c>
      <c r="D134" s="8">
        <f t="shared" si="3"/>
        <v>2.7506968000000002E-5</v>
      </c>
      <c r="E134" s="9">
        <f t="shared" si="4"/>
        <v>2.3412567317488429</v>
      </c>
      <c r="F134" s="10">
        <f t="shared" si="5"/>
        <v>27.506968000000001</v>
      </c>
    </row>
    <row r="135" spans="1:6" x14ac:dyDescent="0.3">
      <c r="A135" s="7">
        <v>1.27</v>
      </c>
      <c r="B135" s="8">
        <f>ABS(0.00026865972)</f>
        <v>2.6865971999999997E-4</v>
      </c>
      <c r="C135" s="8">
        <f>ABS(-0.00063798317)</f>
        <v>6.3798317000000003E-4</v>
      </c>
      <c r="D135" s="8">
        <f t="shared" si="3"/>
        <v>2.6865971999999997E-5</v>
      </c>
      <c r="E135" s="9">
        <f t="shared" si="4"/>
        <v>2.3746885837594118</v>
      </c>
      <c r="F135" s="10">
        <f t="shared" si="5"/>
        <v>26.865971999999996</v>
      </c>
    </row>
    <row r="136" spans="1:6" x14ac:dyDescent="0.3">
      <c r="A136" s="7">
        <v>1.28</v>
      </c>
      <c r="B136" s="8">
        <f>ABS(0.00026231026)</f>
        <v>2.6231026000000002E-4</v>
      </c>
      <c r="C136" s="8">
        <f>ABS(-0.00063190852)</f>
        <v>6.3190852000000002E-4</v>
      </c>
      <c r="D136" s="8">
        <f t="shared" ref="D136:D199" si="6">B136/$B$3</f>
        <v>2.6231026000000001E-5</v>
      </c>
      <c r="E136" s="9">
        <f t="shared" ref="E136:E199" si="7">IFERROR(C136/B136,"")</f>
        <v>2.4090118320190754</v>
      </c>
      <c r="F136" s="10">
        <f t="shared" ref="F136:F199" si="8">D136*1000000</f>
        <v>26.231026</v>
      </c>
    </row>
    <row r="137" spans="1:6" x14ac:dyDescent="0.3">
      <c r="A137" s="7">
        <v>1.29</v>
      </c>
      <c r="B137" s="8">
        <f>ABS(0.00025602179)</f>
        <v>2.5602178999999998E-4</v>
      </c>
      <c r="C137" s="8">
        <f>ABS(-0.0006257845)</f>
        <v>6.2578449999999995E-4</v>
      </c>
      <c r="D137" s="8">
        <f t="shared" si="6"/>
        <v>2.5602178999999999E-5</v>
      </c>
      <c r="E137" s="9">
        <f t="shared" si="7"/>
        <v>2.4442626543623494</v>
      </c>
      <c r="F137" s="10">
        <f t="shared" si="8"/>
        <v>25.602179</v>
      </c>
    </row>
    <row r="138" spans="1:6" x14ac:dyDescent="0.3">
      <c r="A138" s="7">
        <v>1.3</v>
      </c>
      <c r="B138" s="8">
        <f>ABS(0.00024979482)</f>
        <v>2.4979481999999999E-4</v>
      </c>
      <c r="C138" s="8">
        <f>ABS(-0.00061961085)</f>
        <v>6.1961085E-4</v>
      </c>
      <c r="D138" s="8">
        <f t="shared" si="6"/>
        <v>2.4979481999999998E-5</v>
      </c>
      <c r="E138" s="9">
        <f t="shared" si="7"/>
        <v>2.4804791788716836</v>
      </c>
      <c r="F138" s="10">
        <f t="shared" si="8"/>
        <v>24.979481999999997</v>
      </c>
    </row>
    <row r="139" spans="1:6" x14ac:dyDescent="0.3">
      <c r="A139" s="7">
        <v>1.31</v>
      </c>
      <c r="B139" s="8">
        <f>ABS(0.00024362983)</f>
        <v>2.4362983E-4</v>
      </c>
      <c r="C139" s="8">
        <f>ABS(-0.0006133873)</f>
        <v>6.1338729999999995E-4</v>
      </c>
      <c r="D139" s="8">
        <f t="shared" si="6"/>
        <v>2.4362983000000001E-5</v>
      </c>
      <c r="E139" s="9">
        <f t="shared" si="7"/>
        <v>2.5177019579252669</v>
      </c>
      <c r="F139" s="10">
        <f t="shared" si="8"/>
        <v>24.362983</v>
      </c>
    </row>
    <row r="140" spans="1:6" x14ac:dyDescent="0.3">
      <c r="A140" s="7">
        <v>1.32</v>
      </c>
      <c r="B140" s="8">
        <f>ABS(0.00023752732)</f>
        <v>2.3752732000000001E-4</v>
      </c>
      <c r="C140" s="8">
        <f>ABS(-0.0006071136)</f>
        <v>6.0711360000000004E-4</v>
      </c>
      <c r="D140" s="8">
        <f t="shared" si="6"/>
        <v>2.3752732000000001E-5</v>
      </c>
      <c r="E140" s="9">
        <f t="shared" si="7"/>
        <v>2.5559737717749691</v>
      </c>
      <c r="F140" s="10">
        <f t="shared" si="8"/>
        <v>23.752732000000002</v>
      </c>
    </row>
    <row r="141" spans="1:6" x14ac:dyDescent="0.3">
      <c r="A141" s="7">
        <v>1.33</v>
      </c>
      <c r="B141" s="8">
        <f>ABS(0.00023148781)</f>
        <v>2.3148780999999999E-4</v>
      </c>
      <c r="C141" s="8">
        <f>ABS(-0.00060078946)</f>
        <v>6.0078946000000002E-4</v>
      </c>
      <c r="D141" s="8">
        <f t="shared" si="6"/>
        <v>2.3148780999999999E-5</v>
      </c>
      <c r="E141" s="9">
        <f t="shared" si="7"/>
        <v>2.5953395126939949</v>
      </c>
      <c r="F141" s="10">
        <f t="shared" si="8"/>
        <v>23.148781</v>
      </c>
    </row>
    <row r="142" spans="1:6" x14ac:dyDescent="0.3">
      <c r="A142" s="7">
        <v>1.34</v>
      </c>
      <c r="B142" s="8">
        <f>ABS(0.00022551179)</f>
        <v>2.2551179E-4</v>
      </c>
      <c r="C142" s="8">
        <f>ABS(-0.00059441464)</f>
        <v>5.9441463999999997E-4</v>
      </c>
      <c r="D142" s="8">
        <f t="shared" si="6"/>
        <v>2.2551179000000001E-5</v>
      </c>
      <c r="E142" s="9">
        <f t="shared" si="7"/>
        <v>2.635847287629618</v>
      </c>
      <c r="F142" s="10">
        <f t="shared" si="8"/>
        <v>22.551179000000001</v>
      </c>
    </row>
    <row r="143" spans="1:6" x14ac:dyDescent="0.3">
      <c r="A143" s="7">
        <v>1.35</v>
      </c>
      <c r="B143" s="8">
        <f>ABS(0.00021959977)</f>
        <v>2.1959977E-4</v>
      </c>
      <c r="C143" s="8">
        <f>ABS(-0.00058798887)</f>
        <v>5.8798887E-4</v>
      </c>
      <c r="D143" s="8">
        <f t="shared" si="6"/>
        <v>2.1959977E-5</v>
      </c>
      <c r="E143" s="9">
        <f t="shared" si="7"/>
        <v>2.6775477497084812</v>
      </c>
      <c r="F143" s="10">
        <f t="shared" si="8"/>
        <v>21.959976999999999</v>
      </c>
    </row>
    <row r="144" spans="1:6" x14ac:dyDescent="0.3">
      <c r="A144" s="7">
        <v>1.36</v>
      </c>
      <c r="B144" s="8">
        <f>ABS(0.00021375226)</f>
        <v>2.1375225999999999E-4</v>
      </c>
      <c r="C144" s="8">
        <f>ABS(-0.00058151188)</f>
        <v>5.8151188E-4</v>
      </c>
      <c r="D144" s="8">
        <f t="shared" si="6"/>
        <v>2.1375225999999999E-5</v>
      </c>
      <c r="E144" s="9">
        <f t="shared" si="7"/>
        <v>2.7204946511442736</v>
      </c>
      <c r="F144" s="10">
        <f t="shared" si="8"/>
        <v>21.375225999999998</v>
      </c>
    </row>
    <row r="145" spans="1:6" x14ac:dyDescent="0.3">
      <c r="A145" s="7">
        <v>1.37</v>
      </c>
      <c r="B145" s="8">
        <f>ABS(0.00020796979)</f>
        <v>2.0796979E-4</v>
      </c>
      <c r="C145" s="8">
        <f>ABS(-0.00057498342)</f>
        <v>5.7498342E-4</v>
      </c>
      <c r="D145" s="8">
        <f t="shared" si="6"/>
        <v>2.0796979E-5</v>
      </c>
      <c r="E145" s="9">
        <f t="shared" si="7"/>
        <v>2.7647449179998689</v>
      </c>
      <c r="F145" s="10">
        <f t="shared" si="8"/>
        <v>20.796979</v>
      </c>
    </row>
    <row r="146" spans="1:6" x14ac:dyDescent="0.3">
      <c r="A146" s="7">
        <v>1.38</v>
      </c>
      <c r="B146" s="8">
        <f>ABS(0.00020225285)</f>
        <v>2.0225285000000001E-4</v>
      </c>
      <c r="C146" s="8">
        <f>ABS(-0.00056840323)</f>
        <v>5.6840323000000004E-4</v>
      </c>
      <c r="D146" s="8">
        <f t="shared" si="6"/>
        <v>2.0225285E-5</v>
      </c>
      <c r="E146" s="9">
        <f t="shared" si="7"/>
        <v>2.810359557356052</v>
      </c>
      <c r="F146" s="10">
        <f t="shared" si="8"/>
        <v>20.225285</v>
      </c>
    </row>
    <row r="147" spans="1:6" x14ac:dyDescent="0.3">
      <c r="A147" s="7">
        <v>1.39</v>
      </c>
      <c r="B147" s="8">
        <f>ABS(0.00019660198)</f>
        <v>1.9660198000000001E-4</v>
      </c>
      <c r="C147" s="8">
        <f>ABS(-0.00056177104)</f>
        <v>5.6177104000000003E-4</v>
      </c>
      <c r="D147" s="8">
        <f t="shared" si="6"/>
        <v>1.9660198E-5</v>
      </c>
      <c r="E147" s="9">
        <f t="shared" si="7"/>
        <v>2.8574027586090436</v>
      </c>
      <c r="F147" s="10">
        <f t="shared" si="8"/>
        <v>19.660198000000001</v>
      </c>
    </row>
    <row r="148" spans="1:6" x14ac:dyDescent="0.3">
      <c r="A148" s="7">
        <v>1.4</v>
      </c>
      <c r="B148" s="8">
        <f>ABS(0.0001910177)</f>
        <v>1.910177E-4</v>
      </c>
      <c r="C148" s="8">
        <f>ABS(-0.00055508659)</f>
        <v>5.5508659000000002E-4</v>
      </c>
      <c r="D148" s="8">
        <f t="shared" si="6"/>
        <v>1.9101769999999999E-5</v>
      </c>
      <c r="E148" s="9">
        <f t="shared" si="7"/>
        <v>2.9059432188744814</v>
      </c>
      <c r="F148" s="10">
        <f t="shared" si="8"/>
        <v>19.101769999999998</v>
      </c>
    </row>
    <row r="149" spans="1:6" x14ac:dyDescent="0.3">
      <c r="A149" s="7">
        <v>1.41</v>
      </c>
      <c r="B149" s="8">
        <f>ABS(0.00018550051)</f>
        <v>1.8550051E-4</v>
      </c>
      <c r="C149" s="8">
        <f>ABS(-0.00054834961)</f>
        <v>5.4834961000000001E-4</v>
      </c>
      <c r="D149" s="8">
        <f t="shared" si="6"/>
        <v>1.8550051E-5</v>
      </c>
      <c r="E149" s="9">
        <f t="shared" si="7"/>
        <v>2.9560544604432621</v>
      </c>
      <c r="F149" s="10">
        <f t="shared" si="8"/>
        <v>18.550051</v>
      </c>
    </row>
    <row r="150" spans="1:6" x14ac:dyDescent="0.3">
      <c r="A150" s="7">
        <v>1.42</v>
      </c>
      <c r="B150" s="8">
        <f>ABS(0.00018005097)</f>
        <v>1.8005097000000001E-4</v>
      </c>
      <c r="C150" s="8">
        <f>ABS(-0.00054155983)</f>
        <v>5.4155982999999999E-4</v>
      </c>
      <c r="D150" s="8">
        <f t="shared" si="6"/>
        <v>1.8005097E-5</v>
      </c>
      <c r="E150" s="9">
        <f t="shared" si="7"/>
        <v>3.0078140095551831</v>
      </c>
      <c r="F150" s="10">
        <f t="shared" si="8"/>
        <v>18.005096999999999</v>
      </c>
    </row>
    <row r="151" spans="1:6" x14ac:dyDescent="0.3">
      <c r="A151" s="7">
        <v>1.43</v>
      </c>
      <c r="B151" s="8">
        <f>ABS(0.00017466958)</f>
        <v>1.7466958E-4</v>
      </c>
      <c r="C151" s="8">
        <f>ABS(-0.00053471698)</f>
        <v>5.3471697999999995E-4</v>
      </c>
      <c r="D151" s="8">
        <f t="shared" si="6"/>
        <v>1.7466957999999999E-5</v>
      </c>
      <c r="E151" s="9">
        <f t="shared" si="7"/>
        <v>3.0613056950156974</v>
      </c>
      <c r="F151" s="10">
        <f t="shared" si="8"/>
        <v>17.466957999999998</v>
      </c>
    </row>
    <row r="152" spans="1:6" x14ac:dyDescent="0.3">
      <c r="A152" s="7">
        <v>1.44</v>
      </c>
      <c r="B152" s="8">
        <f>ABS(0.00016935689)</f>
        <v>1.6935689E-4</v>
      </c>
      <c r="C152" s="8">
        <f>ABS(-0.00052782077)</f>
        <v>5.2782076999999998E-4</v>
      </c>
      <c r="D152" s="8">
        <f t="shared" si="6"/>
        <v>1.6935689000000001E-5</v>
      </c>
      <c r="E152" s="9">
        <f t="shared" si="7"/>
        <v>3.1166182255708637</v>
      </c>
      <c r="F152" s="10">
        <f t="shared" si="8"/>
        <v>16.935689</v>
      </c>
    </row>
    <row r="153" spans="1:6" x14ac:dyDescent="0.3">
      <c r="A153" s="7">
        <v>1.45</v>
      </c>
      <c r="B153" s="8">
        <f>ABS(0.00016411344)</f>
        <v>1.6411344E-4</v>
      </c>
      <c r="C153" s="8">
        <f>ABS(-0.0005208709)</f>
        <v>5.2087089999999997E-4</v>
      </c>
      <c r="D153" s="8">
        <f t="shared" si="6"/>
        <v>1.6411344E-5</v>
      </c>
      <c r="E153" s="9">
        <f t="shared" si="7"/>
        <v>3.1738467001849453</v>
      </c>
      <c r="F153" s="10">
        <f t="shared" si="8"/>
        <v>16.411344</v>
      </c>
    </row>
    <row r="154" spans="1:6" x14ac:dyDescent="0.3">
      <c r="A154" s="7">
        <v>1.46</v>
      </c>
      <c r="B154" s="8">
        <f>ABS(0.00015893975)</f>
        <v>1.5893974999999999E-4</v>
      </c>
      <c r="C154" s="8">
        <f>ABS(-0.00051386706)</f>
        <v>5.1386705999999997E-4</v>
      </c>
      <c r="D154" s="8">
        <f t="shared" si="6"/>
        <v>1.5893974999999999E-5</v>
      </c>
      <c r="E154" s="9">
        <f t="shared" si="7"/>
        <v>3.2330934206200777</v>
      </c>
      <c r="F154" s="10">
        <f t="shared" si="8"/>
        <v>15.893974999999999</v>
      </c>
    </row>
    <row r="155" spans="1:6" x14ac:dyDescent="0.3">
      <c r="A155" s="7">
        <v>1.47</v>
      </c>
      <c r="B155" s="8">
        <f>ABS(0.00015383637)</f>
        <v>1.5383637000000001E-4</v>
      </c>
      <c r="C155" s="8">
        <f>ABS(-0.00050680893)</f>
        <v>5.0680892999999995E-4</v>
      </c>
      <c r="D155" s="8">
        <f t="shared" si="6"/>
        <v>1.5383637000000001E-5</v>
      </c>
      <c r="E155" s="9">
        <f t="shared" si="7"/>
        <v>3.2944675566642654</v>
      </c>
      <c r="F155" s="10">
        <f t="shared" si="8"/>
        <v>15.383637</v>
      </c>
    </row>
    <row r="156" spans="1:6" x14ac:dyDescent="0.3">
      <c r="A156" s="7">
        <v>1.48</v>
      </c>
      <c r="B156" s="8">
        <f>ABS(0.00014880384)</f>
        <v>1.4880384000000001E-4</v>
      </c>
      <c r="C156" s="8">
        <f>ABS(-0.00049969615)</f>
        <v>4.9969615000000005E-4</v>
      </c>
      <c r="D156" s="8">
        <f t="shared" si="6"/>
        <v>1.4880384E-5</v>
      </c>
      <c r="E156" s="9">
        <f t="shared" si="7"/>
        <v>3.3580863907813132</v>
      </c>
      <c r="F156" s="10">
        <f t="shared" si="8"/>
        <v>14.880383999999999</v>
      </c>
    </row>
    <row r="157" spans="1:6" x14ac:dyDescent="0.3">
      <c r="A157" s="7">
        <v>1.49</v>
      </c>
      <c r="B157" s="8">
        <f>ABS(0.00014384272)</f>
        <v>1.4384272000000001E-4</v>
      </c>
      <c r="C157" s="8">
        <f>ABS(-0.00049252836)</f>
        <v>4.9252835999999997E-4</v>
      </c>
      <c r="D157" s="8">
        <f t="shared" si="6"/>
        <v>1.4384272000000001E-5</v>
      </c>
      <c r="E157" s="9">
        <f t="shared" si="7"/>
        <v>3.4240756848869371</v>
      </c>
      <c r="F157" s="10">
        <f t="shared" si="8"/>
        <v>14.384272000000001</v>
      </c>
    </row>
    <row r="158" spans="1:6" x14ac:dyDescent="0.3">
      <c r="A158" s="7">
        <v>1.5</v>
      </c>
      <c r="B158" s="8">
        <f>ABS(0.00013895355)</f>
        <v>1.3895355000000001E-4</v>
      </c>
      <c r="C158" s="8">
        <f>ABS(-0.00048530513)</f>
        <v>4.8530513000000003E-4</v>
      </c>
      <c r="D158" s="8">
        <f t="shared" si="6"/>
        <v>1.3895355000000001E-5</v>
      </c>
      <c r="E158" s="9">
        <f t="shared" si="7"/>
        <v>3.4925709346756526</v>
      </c>
      <c r="F158" s="10">
        <f t="shared" si="8"/>
        <v>13.895355</v>
      </c>
    </row>
    <row r="159" spans="1:6" x14ac:dyDescent="0.3">
      <c r="A159" s="7">
        <v>1.51</v>
      </c>
      <c r="B159" s="8">
        <f>ABS(0.0001341369)</f>
        <v>1.3413690000000001E-4</v>
      </c>
      <c r="C159" s="8">
        <f>ABS(-0.00047802603)</f>
        <v>4.7802602999999998E-4</v>
      </c>
      <c r="D159" s="8">
        <f t="shared" si="6"/>
        <v>1.3413690000000001E-5</v>
      </c>
      <c r="E159" s="9">
        <f t="shared" si="7"/>
        <v>3.5637175900143805</v>
      </c>
      <c r="F159" s="10">
        <f t="shared" si="8"/>
        <v>13.413690000000001</v>
      </c>
    </row>
    <row r="160" spans="1:6" x14ac:dyDescent="0.3">
      <c r="A160" s="7">
        <v>1.52</v>
      </c>
      <c r="B160" s="8">
        <f>ABS(0.00012939331)</f>
        <v>1.2939331000000001E-4</v>
      </c>
      <c r="C160" s="8">
        <f>ABS(-0.00047069056)</f>
        <v>4.7069055999999999E-4</v>
      </c>
      <c r="D160" s="8">
        <f t="shared" si="6"/>
        <v>1.2939331000000001E-5</v>
      </c>
      <c r="E160" s="9">
        <f t="shared" si="7"/>
        <v>3.6376730759882405</v>
      </c>
      <c r="F160" s="10">
        <f t="shared" si="8"/>
        <v>12.939331000000001</v>
      </c>
    </row>
    <row r="161" spans="1:6" x14ac:dyDescent="0.3">
      <c r="A161" s="7">
        <v>1.53</v>
      </c>
      <c r="B161" s="8">
        <f>ABS(0.00012472337)</f>
        <v>1.2472336999999999E-4</v>
      </c>
      <c r="C161" s="8">
        <f>ABS(-0.00046329815)</f>
        <v>4.6329815000000001E-4</v>
      </c>
      <c r="D161" s="8">
        <f t="shared" si="6"/>
        <v>1.2472336999999999E-5</v>
      </c>
      <c r="E161" s="9">
        <f t="shared" si="7"/>
        <v>3.7146057711557989</v>
      </c>
      <c r="F161" s="10">
        <f t="shared" si="8"/>
        <v>12.472337</v>
      </c>
    </row>
    <row r="162" spans="1:6" x14ac:dyDescent="0.3">
      <c r="A162" s="7">
        <v>1.54</v>
      </c>
      <c r="B162" s="8">
        <f>ABS(0.00012012764)</f>
        <v>1.2012764E-4</v>
      </c>
      <c r="C162" s="8">
        <f>ABS(-0.0004558482)</f>
        <v>4.5584819999999998E-4</v>
      </c>
      <c r="D162" s="8">
        <f t="shared" si="6"/>
        <v>1.2012763999999999E-5</v>
      </c>
      <c r="E162" s="9">
        <f t="shared" si="7"/>
        <v>3.7946987054769408</v>
      </c>
      <c r="F162" s="10">
        <f t="shared" si="8"/>
        <v>12.012763999999999</v>
      </c>
    </row>
    <row r="163" spans="1:6" x14ac:dyDescent="0.3">
      <c r="A163" s="7">
        <v>1.55</v>
      </c>
      <c r="B163" s="8">
        <f>ABS(0.0001156067)</f>
        <v>1.156067E-4</v>
      </c>
      <c r="C163" s="8">
        <f>ABS(-0.00044833998)</f>
        <v>4.4833998000000001E-4</v>
      </c>
      <c r="D163" s="8">
        <f t="shared" si="6"/>
        <v>1.1560670000000001E-5</v>
      </c>
      <c r="E163" s="9">
        <f t="shared" si="7"/>
        <v>3.87814875781421</v>
      </c>
      <c r="F163" s="10">
        <f t="shared" si="8"/>
        <v>11.56067</v>
      </c>
    </row>
    <row r="164" spans="1:6" x14ac:dyDescent="0.3">
      <c r="A164" s="7">
        <v>1.56</v>
      </c>
      <c r="B164" s="8">
        <f>ABS(0.00011116113)</f>
        <v>1.1116113E-4</v>
      </c>
      <c r="C164" s="8">
        <f>ABS(-0.00044077271)</f>
        <v>4.4077271000000001E-4</v>
      </c>
      <c r="D164" s="8">
        <f t="shared" si="6"/>
        <v>1.1116112999999999E-5</v>
      </c>
      <c r="E164" s="9">
        <f t="shared" si="7"/>
        <v>3.9651693896958409</v>
      </c>
      <c r="F164" s="10">
        <f t="shared" si="8"/>
        <v>11.116112999999999</v>
      </c>
    </row>
    <row r="165" spans="1:6" x14ac:dyDescent="0.3">
      <c r="A165" s="7">
        <v>1.57</v>
      </c>
      <c r="B165" s="8">
        <f>ABS(0.00010679154)</f>
        <v>1.0679154E-4</v>
      </c>
      <c r="C165" s="8">
        <f>ABS(-0.00043314548)</f>
        <v>4.3314547999999999E-4</v>
      </c>
      <c r="D165" s="8">
        <f t="shared" si="6"/>
        <v>1.0679154E-5</v>
      </c>
      <c r="E165" s="9">
        <f t="shared" si="7"/>
        <v>4.0559905775307667</v>
      </c>
      <c r="F165" s="10">
        <f t="shared" si="8"/>
        <v>10.679154</v>
      </c>
    </row>
    <row r="166" spans="1:6" x14ac:dyDescent="0.3">
      <c r="A166" s="7">
        <v>1.58</v>
      </c>
      <c r="B166" s="8">
        <f>ABS(0.00010249853)</f>
        <v>1.0249853E-4</v>
      </c>
      <c r="C166" s="8">
        <f>ABS(-0.00042545724)</f>
        <v>4.2545723999999998E-4</v>
      </c>
      <c r="D166" s="8">
        <f t="shared" si="6"/>
        <v>1.0249853E-5</v>
      </c>
      <c r="E166" s="9">
        <f t="shared" si="7"/>
        <v>4.1508618708970753</v>
      </c>
      <c r="F166" s="10">
        <f t="shared" si="8"/>
        <v>10.249853</v>
      </c>
    </row>
    <row r="167" spans="1:6" x14ac:dyDescent="0.3">
      <c r="A167" s="7">
        <v>1.59</v>
      </c>
      <c r="B167" s="8">
        <f>ABS(0.000098282708)</f>
        <v>9.8282707999999995E-5</v>
      </c>
      <c r="C167" s="8">
        <f>ABS(-0.00041770682)</f>
        <v>4.1770681999999998E-4</v>
      </c>
      <c r="D167" s="8">
        <f t="shared" si="6"/>
        <v>9.8282707999999995E-6</v>
      </c>
      <c r="E167" s="9">
        <f t="shared" si="7"/>
        <v>4.2500540379900809</v>
      </c>
      <c r="F167" s="10">
        <f t="shared" si="8"/>
        <v>9.8282708000000003</v>
      </c>
    </row>
    <row r="168" spans="1:6" x14ac:dyDescent="0.3">
      <c r="A168" s="7">
        <v>1.6</v>
      </c>
      <c r="B168" s="8">
        <f>ABS(0.00009414471)</f>
        <v>9.4144709999999994E-5</v>
      </c>
      <c r="C168" s="8">
        <f>ABS(-0.00040989285)</f>
        <v>4.0989284999999999E-4</v>
      </c>
      <c r="D168" s="8">
        <f t="shared" si="6"/>
        <v>9.4144710000000001E-6</v>
      </c>
      <c r="E168" s="9">
        <f t="shared" si="7"/>
        <v>4.3538596061318797</v>
      </c>
      <c r="F168" s="10">
        <f t="shared" si="8"/>
        <v>9.4144710000000007</v>
      </c>
    </row>
    <row r="169" spans="1:6" x14ac:dyDescent="0.3">
      <c r="A169" s="7">
        <v>1.61</v>
      </c>
      <c r="B169" s="8">
        <f>ABS(0.000090085177)</f>
        <v>9.0085177E-5</v>
      </c>
      <c r="C169" s="8">
        <f>ABS(-0.00040201378)</f>
        <v>4.0201377999999997E-4</v>
      </c>
      <c r="D169" s="8">
        <f t="shared" si="6"/>
        <v>9.0085176999999996E-6</v>
      </c>
      <c r="E169" s="9">
        <f t="shared" si="7"/>
        <v>4.4625963270294733</v>
      </c>
      <c r="F169" s="10">
        <f t="shared" si="8"/>
        <v>9.0085177000000005</v>
      </c>
    </row>
    <row r="170" spans="1:6" x14ac:dyDescent="0.3">
      <c r="A170" s="7">
        <v>1.62</v>
      </c>
      <c r="B170" s="8">
        <f>ABS(0.000086104769)</f>
        <v>8.6104769000000005E-5</v>
      </c>
      <c r="C170" s="8">
        <f>ABS(-0.00039406785)</f>
        <v>3.9406785000000003E-4</v>
      </c>
      <c r="D170" s="8">
        <f t="shared" si="6"/>
        <v>8.6104769000000005E-6</v>
      </c>
      <c r="E170" s="9">
        <f t="shared" si="7"/>
        <v>4.576608875171595</v>
      </c>
      <c r="F170" s="10">
        <f t="shared" si="8"/>
        <v>8.6104769000000001</v>
      </c>
    </row>
    <row r="171" spans="1:6" x14ac:dyDescent="0.3">
      <c r="A171" s="7">
        <v>1.63</v>
      </c>
      <c r="B171" s="8">
        <f>ABS(0.000082204165)</f>
        <v>8.2204165000000006E-5</v>
      </c>
      <c r="C171" s="8">
        <f>ABS(-0.00038605304)</f>
        <v>3.8605303999999997E-4</v>
      </c>
      <c r="D171" s="8">
        <f t="shared" si="6"/>
        <v>8.2204165000000002E-6</v>
      </c>
      <c r="E171" s="9">
        <f t="shared" si="7"/>
        <v>4.6962710466069444</v>
      </c>
      <c r="F171" s="10">
        <f t="shared" si="8"/>
        <v>8.2204165000000007</v>
      </c>
    </row>
    <row r="172" spans="1:6" x14ac:dyDescent="0.3">
      <c r="A172" s="7">
        <v>1.64</v>
      </c>
      <c r="B172" s="8">
        <f>ABS(0.000078384064)</f>
        <v>7.8384064000000002E-5</v>
      </c>
      <c r="C172" s="8">
        <f>ABS(-0.00037796706)</f>
        <v>3.7796706000000003E-4</v>
      </c>
      <c r="D172" s="8">
        <f t="shared" si="6"/>
        <v>7.8384064000000005E-6</v>
      </c>
      <c r="E172" s="9">
        <f t="shared" si="7"/>
        <v>4.8219885613483884</v>
      </c>
      <c r="F172" s="10">
        <f t="shared" si="8"/>
        <v>7.8384064000000002</v>
      </c>
    </row>
    <row r="173" spans="1:6" x14ac:dyDescent="0.3">
      <c r="A173" s="7">
        <v>1.65</v>
      </c>
      <c r="B173" s="8">
        <f>ABS(0.000074645193)</f>
        <v>7.4645193000000002E-5</v>
      </c>
      <c r="C173" s="8">
        <f>ABS(-0.00036980732)</f>
        <v>3.6980732000000001E-4</v>
      </c>
      <c r="D173" s="8">
        <f t="shared" si="6"/>
        <v>7.4645193000000004E-6</v>
      </c>
      <c r="E173" s="9">
        <f t="shared" si="7"/>
        <v>4.9542014045030331</v>
      </c>
      <c r="F173" s="10">
        <f t="shared" si="8"/>
        <v>7.4645193000000001</v>
      </c>
    </row>
    <row r="174" spans="1:6" x14ac:dyDescent="0.3">
      <c r="A174" s="7">
        <v>1.66</v>
      </c>
      <c r="B174" s="8">
        <f>ABS(0.000070988302)</f>
        <v>7.0988302000000005E-5</v>
      </c>
      <c r="C174" s="8">
        <f>ABS(-0.00036157088)</f>
        <v>3.6157087999999998E-4</v>
      </c>
      <c r="D174" s="8">
        <f t="shared" si="6"/>
        <v>7.0988302000000008E-6</v>
      </c>
      <c r="E174" s="9">
        <f t="shared" si="7"/>
        <v>5.0933867949116456</v>
      </c>
      <c r="F174" s="10">
        <f t="shared" si="8"/>
        <v>7.098830200000001</v>
      </c>
    </row>
    <row r="175" spans="1:6" x14ac:dyDescent="0.3">
      <c r="A175" s="7">
        <v>1.67</v>
      </c>
      <c r="B175" s="8">
        <f>ABS(0.000067414175)</f>
        <v>6.7414174999999994E-5</v>
      </c>
      <c r="C175" s="8">
        <f>ABS(-0.00035325447)</f>
        <v>3.5325447000000002E-4</v>
      </c>
      <c r="D175" s="8">
        <f t="shared" si="6"/>
        <v>6.7414174999999991E-6</v>
      </c>
      <c r="E175" s="9">
        <f t="shared" si="7"/>
        <v>5.2400621976016177</v>
      </c>
      <c r="F175" s="10">
        <f t="shared" si="8"/>
        <v>6.741417499999999</v>
      </c>
    </row>
    <row r="176" spans="1:6" x14ac:dyDescent="0.3">
      <c r="A176" s="7">
        <v>1.68</v>
      </c>
      <c r="B176" s="8">
        <f>ABS(0.000063923631)</f>
        <v>6.3923631000000004E-5</v>
      </c>
      <c r="C176" s="8">
        <f>ABS(-0.00034485442)</f>
        <v>3.4485442000000002E-4</v>
      </c>
      <c r="D176" s="8">
        <f t="shared" si="6"/>
        <v>6.3923631000000004E-6</v>
      </c>
      <c r="E176" s="9">
        <f t="shared" si="7"/>
        <v>5.3947877272490983</v>
      </c>
      <c r="F176" s="10">
        <f t="shared" si="8"/>
        <v>6.3923631000000007</v>
      </c>
    </row>
    <row r="177" spans="1:6" x14ac:dyDescent="0.3">
      <c r="A177" s="7">
        <v>1.69</v>
      </c>
      <c r="B177" s="8">
        <f>ABS(0.000060517526)</f>
        <v>6.0517526000000002E-5</v>
      </c>
      <c r="C177" s="8">
        <f>ABS(-0.00033636665)</f>
        <v>3.3636665E-4</v>
      </c>
      <c r="D177" s="8">
        <f t="shared" si="6"/>
        <v>6.0517526000000002E-6</v>
      </c>
      <c r="E177" s="9">
        <f t="shared" si="7"/>
        <v>5.5581692153112803</v>
      </c>
      <c r="F177" s="10">
        <f t="shared" si="8"/>
        <v>6.0517526000000004</v>
      </c>
    </row>
    <row r="178" spans="1:6" x14ac:dyDescent="0.3">
      <c r="A178" s="7">
        <v>1.7</v>
      </c>
      <c r="B178" s="8">
        <f>ABS(0.00005719676)</f>
        <v>5.7196759999999998E-5</v>
      </c>
      <c r="C178" s="8">
        <f>ABS(-0.00032778669)</f>
        <v>3.2778669E-4</v>
      </c>
      <c r="D178" s="8">
        <f t="shared" si="6"/>
        <v>5.7196759999999998E-6</v>
      </c>
      <c r="E178" s="9">
        <f t="shared" si="7"/>
        <v>5.7308611536737395</v>
      </c>
      <c r="F178" s="10">
        <f t="shared" si="8"/>
        <v>5.7196759999999998</v>
      </c>
    </row>
    <row r="179" spans="1:6" x14ac:dyDescent="0.3">
      <c r="A179" s="7">
        <v>1.71</v>
      </c>
      <c r="B179" s="8">
        <f>ABS(0.000053962278)</f>
        <v>5.3962278000000003E-5</v>
      </c>
      <c r="C179" s="8">
        <f>ABS(-0.00031910965)</f>
        <v>3.1910964999999999E-4</v>
      </c>
      <c r="D179" s="8">
        <f t="shared" si="6"/>
        <v>5.3962278000000002E-6</v>
      </c>
      <c r="E179" s="9">
        <f t="shared" si="7"/>
        <v>5.9135689193847591</v>
      </c>
      <c r="F179" s="10">
        <f t="shared" si="8"/>
        <v>5.3962278000000001</v>
      </c>
    </row>
    <row r="180" spans="1:6" x14ac:dyDescent="0.3">
      <c r="A180" s="7">
        <v>1.72</v>
      </c>
      <c r="B180" s="8">
        <f>ABS(0.000050815079)</f>
        <v>5.0815079000000003E-5</v>
      </c>
      <c r="C180" s="8">
        <f>ABS(-0.00031033027)</f>
        <v>3.1033027E-4</v>
      </c>
      <c r="D180" s="8">
        <f t="shared" si="6"/>
        <v>5.0815079000000007E-6</v>
      </c>
      <c r="E180" s="9">
        <f t="shared" si="7"/>
        <v>6.1070508224537043</v>
      </c>
      <c r="F180" s="10">
        <f t="shared" si="8"/>
        <v>5.081507900000001</v>
      </c>
    </row>
    <row r="181" spans="1:6" x14ac:dyDescent="0.3">
      <c r="A181" s="7">
        <v>1.73</v>
      </c>
      <c r="B181" s="8">
        <f>ABS(0.000047756213)</f>
        <v>4.7756212999999997E-5</v>
      </c>
      <c r="C181" s="8">
        <f>ABS(-0.00030144292)</f>
        <v>3.0144291999999997E-4</v>
      </c>
      <c r="D181" s="8">
        <f t="shared" si="6"/>
        <v>4.7756212999999994E-6</v>
      </c>
      <c r="E181" s="9">
        <f t="shared" si="7"/>
        <v>6.3121194304079342</v>
      </c>
      <c r="F181" s="10">
        <f t="shared" si="8"/>
        <v>4.7756212999999992</v>
      </c>
    </row>
    <row r="182" spans="1:6" x14ac:dyDescent="0.3">
      <c r="A182" s="7">
        <v>1.74</v>
      </c>
      <c r="B182" s="8">
        <f>ABS(0.00004478679)</f>
        <v>4.4786790000000002E-5</v>
      </c>
      <c r="C182" s="8">
        <f>ABS(-0.00029244172)</f>
        <v>2.9244172E-4</v>
      </c>
      <c r="D182" s="8">
        <f t="shared" si="6"/>
        <v>4.4786790000000001E-6</v>
      </c>
      <c r="E182" s="9">
        <f t="shared" si="7"/>
        <v>6.5296423342686536</v>
      </c>
      <c r="F182" s="10">
        <f t="shared" si="8"/>
        <v>4.4786789999999996</v>
      </c>
    </row>
    <row r="183" spans="1:6" x14ac:dyDescent="0.3">
      <c r="A183" s="7">
        <v>1.75</v>
      </c>
      <c r="B183" s="8">
        <f>ABS(0.000041907978)</f>
        <v>4.1907977999999999E-5</v>
      </c>
      <c r="C183" s="8">
        <f>ABS(-0.00028332061)</f>
        <v>2.8332060999999999E-4</v>
      </c>
      <c r="D183" s="8">
        <f t="shared" si="6"/>
        <v>4.1907978000000002E-6</v>
      </c>
      <c r="E183" s="9">
        <f t="shared" si="7"/>
        <v>6.7605411551948418</v>
      </c>
      <c r="F183" s="10">
        <f t="shared" si="8"/>
        <v>4.1907978000000004</v>
      </c>
    </row>
    <row r="184" spans="1:6" x14ac:dyDescent="0.3">
      <c r="A184" s="7">
        <v>1.76</v>
      </c>
      <c r="B184" s="8">
        <f>ABS(0.000039121007)</f>
        <v>3.9121006999999999E-5</v>
      </c>
      <c r="C184" s="8">
        <f>ABS(-0.00027407352)</f>
        <v>2.7407351999999999E-4</v>
      </c>
      <c r="D184" s="8">
        <f t="shared" si="6"/>
        <v>3.9121006999999998E-6</v>
      </c>
      <c r="E184" s="9">
        <f t="shared" si="7"/>
        <v>7.0057889869757188</v>
      </c>
      <c r="F184" s="10">
        <f t="shared" si="8"/>
        <v>3.9121006999999999</v>
      </c>
    </row>
    <row r="185" spans="1:6" x14ac:dyDescent="0.3">
      <c r="A185" s="7">
        <v>1.77</v>
      </c>
      <c r="B185" s="8">
        <f>ABS(0.000036427166)</f>
        <v>3.6427166000000003E-5</v>
      </c>
      <c r="C185" s="8">
        <f>ABS(-0.00026469458)</f>
        <v>2.6469458000000001E-4</v>
      </c>
      <c r="D185" s="8">
        <f t="shared" si="6"/>
        <v>3.6427166000000004E-6</v>
      </c>
      <c r="E185" s="9">
        <f t="shared" si="7"/>
        <v>7.2664060662858043</v>
      </c>
      <c r="F185" s="10">
        <f t="shared" si="8"/>
        <v>3.6427166000000004</v>
      </c>
    </row>
    <row r="186" spans="1:6" x14ac:dyDescent="0.3">
      <c r="A186" s="7">
        <v>1.78</v>
      </c>
      <c r="B186" s="8">
        <f>ABS(0.000033827801)</f>
        <v>3.3827800999999998E-5</v>
      </c>
      <c r="C186" s="8">
        <f>ABS(-0.0002551784)</f>
        <v>2.5517839999999998E-4</v>
      </c>
      <c r="D186" s="8">
        <f t="shared" si="6"/>
        <v>3.3827800999999998E-6</v>
      </c>
      <c r="E186" s="9">
        <f t="shared" si="7"/>
        <v>7.5434522037066492</v>
      </c>
      <c r="F186" s="10">
        <f t="shared" si="8"/>
        <v>3.3827800999999997</v>
      </c>
    </row>
    <row r="187" spans="1:6" x14ac:dyDescent="0.3">
      <c r="A187" s="7">
        <v>1.79</v>
      </c>
      <c r="B187" s="8">
        <f>ABS(0.000031324306)</f>
        <v>3.1324305999999997E-5</v>
      </c>
      <c r="C187" s="8">
        <f>ABS(-0.00024552043)</f>
        <v>2.4552043000000001E-4</v>
      </c>
      <c r="D187" s="8">
        <f t="shared" si="6"/>
        <v>3.1324305999999999E-6</v>
      </c>
      <c r="E187" s="9">
        <f t="shared" si="7"/>
        <v>7.8380165868638887</v>
      </c>
      <c r="F187" s="10">
        <f t="shared" si="8"/>
        <v>3.1324305999999997</v>
      </c>
    </row>
    <row r="188" spans="1:6" x14ac:dyDescent="0.3">
      <c r="A188" s="7">
        <v>1.8</v>
      </c>
      <c r="B188" s="8">
        <f>ABS(0.000028918115)</f>
        <v>2.8918115000000001E-5</v>
      </c>
      <c r="C188" s="8">
        <f>ABS(-0.00023571736)</f>
        <v>2.3571736E-4</v>
      </c>
      <c r="D188" s="8">
        <f t="shared" si="6"/>
        <v>2.8918115000000002E-6</v>
      </c>
      <c r="E188" s="9">
        <f t="shared" si="7"/>
        <v>8.1512007266033759</v>
      </c>
      <c r="F188" s="10">
        <f t="shared" si="8"/>
        <v>2.8918115000000002</v>
      </c>
    </row>
    <row r="189" spans="1:6" x14ac:dyDescent="0.3">
      <c r="A189" s="7">
        <v>1.81</v>
      </c>
      <c r="B189" s="8">
        <f>ABS(0.000026610688)</f>
        <v>2.6610688E-5</v>
      </c>
      <c r="C189" s="8">
        <f>ABS(-0.00022576772)</f>
        <v>2.2576772E-4</v>
      </c>
      <c r="D189" s="8">
        <f t="shared" si="6"/>
        <v>2.6610688000000001E-6</v>
      </c>
      <c r="E189" s="9">
        <f t="shared" si="7"/>
        <v>8.4840993212952629</v>
      </c>
      <c r="F189" s="10">
        <f t="shared" si="8"/>
        <v>2.6610688000000002</v>
      </c>
    </row>
    <row r="190" spans="1:6" x14ac:dyDescent="0.3">
      <c r="A190" s="7">
        <v>1.82</v>
      </c>
      <c r="B190" s="8">
        <f>ABS(0.000024403485)</f>
        <v>2.4403485E-5</v>
      </c>
      <c r="C190" s="8">
        <f>ABS(-0.00021567249)</f>
        <v>2.1567249E-4</v>
      </c>
      <c r="D190" s="8">
        <f t="shared" si="6"/>
        <v>2.4403484999999999E-6</v>
      </c>
      <c r="E190" s="9">
        <f t="shared" si="7"/>
        <v>8.8377741949561717</v>
      </c>
      <c r="F190" s="10">
        <f t="shared" si="8"/>
        <v>2.4403484999999998</v>
      </c>
    </row>
    <row r="191" spans="1:6" x14ac:dyDescent="0.3">
      <c r="A191" s="7">
        <v>1.83</v>
      </c>
      <c r="B191" s="8">
        <f>ABS(0.000022297941)</f>
        <v>2.2297941000000001E-5</v>
      </c>
      <c r="C191" s="8">
        <f>ABS(-0.0002054358)</f>
        <v>2.0543579999999999E-4</v>
      </c>
      <c r="D191" s="8">
        <f t="shared" si="6"/>
        <v>2.2297941E-6</v>
      </c>
      <c r="E191" s="9">
        <f t="shared" si="7"/>
        <v>9.2132183863971999</v>
      </c>
      <c r="F191" s="10">
        <f t="shared" si="8"/>
        <v>2.2297940999999999</v>
      </c>
    </row>
    <row r="192" spans="1:6" x14ac:dyDescent="0.3">
      <c r="A192" s="7">
        <v>1.84</v>
      </c>
      <c r="B192" s="8">
        <f>ABS(0.00002029543)</f>
        <v>2.0295430000000001E-5</v>
      </c>
      <c r="C192" s="8">
        <f>ABS(-0.00019506578)</f>
        <v>1.9506577999999999E-4</v>
      </c>
      <c r="D192" s="8">
        <f t="shared" si="6"/>
        <v>2.0295429999999999E-6</v>
      </c>
      <c r="E192" s="9">
        <f t="shared" si="7"/>
        <v>9.6113154537745675</v>
      </c>
      <c r="F192" s="10">
        <f t="shared" si="8"/>
        <v>2.0295429999999999</v>
      </c>
    </row>
    <row r="193" spans="1:6" x14ac:dyDescent="0.3">
      <c r="A193" s="7">
        <v>1.85</v>
      </c>
      <c r="B193" s="8">
        <f>ABS(0.00001839722)</f>
        <v>1.8397219999999999E-5</v>
      </c>
      <c r="C193" s="8">
        <f>ABS(-0.00018457544)</f>
        <v>1.8457544E-4</v>
      </c>
      <c r="D193" s="8">
        <f t="shared" si="6"/>
        <v>1.8397219999999999E-6</v>
      </c>
      <c r="E193" s="9">
        <f t="shared" si="7"/>
        <v>10.032789736710221</v>
      </c>
      <c r="F193" s="10">
        <f t="shared" si="8"/>
        <v>1.8397219999999999</v>
      </c>
    </row>
    <row r="194" spans="1:6" x14ac:dyDescent="0.3">
      <c r="A194" s="7">
        <v>1.86</v>
      </c>
      <c r="B194" s="8">
        <f>ABS(0.00001660442)</f>
        <v>1.6604420000000001E-5</v>
      </c>
      <c r="C194" s="8">
        <f>ABS(-0.00017398353)</f>
        <v>1.7398353E-4</v>
      </c>
      <c r="D194" s="8">
        <f t="shared" si="6"/>
        <v>1.6604420000000001E-6</v>
      </c>
      <c r="E194" s="9">
        <f t="shared" si="7"/>
        <v>10.478145578105106</v>
      </c>
      <c r="F194" s="10">
        <f t="shared" si="8"/>
        <v>1.6604420000000002</v>
      </c>
    </row>
    <row r="195" spans="1:6" x14ac:dyDescent="0.3">
      <c r="A195" s="7">
        <v>1.87</v>
      </c>
      <c r="B195" s="8">
        <f>ABS(0.000014917921)</f>
        <v>1.4917921000000001E-5</v>
      </c>
      <c r="C195" s="8">
        <f>ABS(-0.00016331541)</f>
        <v>1.6331540999999999E-4</v>
      </c>
      <c r="D195" s="8">
        <f t="shared" si="6"/>
        <v>1.4917921E-6</v>
      </c>
      <c r="E195" s="9">
        <f t="shared" si="7"/>
        <v>10.947598529312495</v>
      </c>
      <c r="F195" s="10">
        <f t="shared" si="8"/>
        <v>1.4917921000000001</v>
      </c>
    </row>
    <row r="196" spans="1:6" x14ac:dyDescent="0.3">
      <c r="A196" s="7">
        <v>1.88</v>
      </c>
      <c r="B196" s="8">
        <f>ABS(0.00001333832)</f>
        <v>1.333832E-5</v>
      </c>
      <c r="C196" s="8">
        <f>ABS(-0.00015260377)</f>
        <v>1.5260377E-4</v>
      </c>
      <c r="D196" s="8">
        <f t="shared" si="6"/>
        <v>1.3338320000000001E-6</v>
      </c>
      <c r="E196" s="9">
        <f t="shared" si="7"/>
        <v>11.441003814573349</v>
      </c>
      <c r="F196" s="10">
        <f t="shared" si="8"/>
        <v>1.3338320000000001</v>
      </c>
    </row>
    <row r="197" spans="1:6" x14ac:dyDescent="0.3">
      <c r="A197" s="7">
        <v>1.89</v>
      </c>
      <c r="B197" s="8">
        <f>ABS(0.00001186585)</f>
        <v>1.1865849999999999E-5</v>
      </c>
      <c r="C197" s="8">
        <f>ABS(-0.00014188916)</f>
        <v>1.4188916000000001E-4</v>
      </c>
      <c r="D197" s="8">
        <f t="shared" si="6"/>
        <v>1.186585E-6</v>
      </c>
      <c r="E197" s="9">
        <f t="shared" si="7"/>
        <v>11.957774622129895</v>
      </c>
      <c r="F197" s="10">
        <f t="shared" si="8"/>
        <v>1.186585</v>
      </c>
    </row>
    <row r="198" spans="1:6" x14ac:dyDescent="0.3">
      <c r="A198" s="7">
        <v>1.9</v>
      </c>
      <c r="B198" s="8">
        <f>ABS(0.000010500299)</f>
        <v>1.0500299000000001E-5</v>
      </c>
      <c r="C198" s="8">
        <f>ABS(-0.00013122014)</f>
        <v>1.3122013999999999E-4</v>
      </c>
      <c r="D198" s="8">
        <f t="shared" si="6"/>
        <v>1.0500299000000002E-6</v>
      </c>
      <c r="E198" s="9">
        <f t="shared" si="7"/>
        <v>12.496800329209671</v>
      </c>
      <c r="F198" s="10">
        <f t="shared" si="8"/>
        <v>1.0500299000000002</v>
      </c>
    </row>
    <row r="199" spans="1:6" x14ac:dyDescent="0.3">
      <c r="A199" s="7">
        <v>1.91</v>
      </c>
      <c r="B199" s="8">
        <f>ABS(0.0000092409294)</f>
        <v>9.2409294000000007E-6</v>
      </c>
      <c r="C199" s="8">
        <f>ABS(-0.00012065305)</f>
        <v>1.2065305E-4</v>
      </c>
      <c r="D199" s="8">
        <f t="shared" si="6"/>
        <v>9.2409294000000009E-7</v>
      </c>
      <c r="E199" s="9">
        <f t="shared" si="7"/>
        <v>13.056376125977112</v>
      </c>
      <c r="F199" s="10">
        <f t="shared" si="8"/>
        <v>0.92409294000000008</v>
      </c>
    </row>
    <row r="200" spans="1:6" x14ac:dyDescent="0.3">
      <c r="A200" s="7">
        <v>1.92</v>
      </c>
      <c r="B200" s="8">
        <f>ABS(0.0000080864055)</f>
        <v>8.0864054999999994E-6</v>
      </c>
      <c r="C200" s="8">
        <f>ABS(-0.00011025118)</f>
        <v>1.1025118E-4</v>
      </c>
      <c r="D200" s="8">
        <f t="shared" ref="D200:D258" si="9">B200/$B$3</f>
        <v>8.086405499999999E-7</v>
      </c>
      <c r="E200" s="9">
        <f t="shared" ref="E200:E258" si="10">IFERROR(C200/B200,"")</f>
        <v>13.634139420784674</v>
      </c>
      <c r="F200" s="10">
        <f t="shared" ref="F200:F258" si="11">D200*1000000</f>
        <v>0.8086405499999999</v>
      </c>
    </row>
    <row r="201" spans="1:6" x14ac:dyDescent="0.3">
      <c r="A201" s="7">
        <v>1.93</v>
      </c>
      <c r="B201" s="8">
        <f>ABS(0.0000070347314)</f>
        <v>7.0347314000000001E-6</v>
      </c>
      <c r="C201" s="8">
        <f>ABS(-0.00010008337)</f>
        <v>1.0008337E-4</v>
      </c>
      <c r="D201" s="8">
        <f t="shared" si="9"/>
        <v>7.0347313999999999E-7</v>
      </c>
      <c r="E201" s="9">
        <f t="shared" si="10"/>
        <v>14.22703502226112</v>
      </c>
      <c r="F201" s="10">
        <f t="shared" si="11"/>
        <v>0.70347313999999994</v>
      </c>
    </row>
    <row r="202" spans="1:6" x14ac:dyDescent="0.3">
      <c r="A202" s="7">
        <v>1.94</v>
      </c>
      <c r="B202" s="8">
        <f>ABS(0.0000060832054)</f>
        <v>6.0832053999999997E-6</v>
      </c>
      <c r="C202" s="8">
        <f>ABS(-0.00009022191)</f>
        <v>9.0221909999999998E-5</v>
      </c>
      <c r="D202" s="8">
        <f t="shared" si="9"/>
        <v>6.0832053999999993E-7</v>
      </c>
      <c r="E202" s="9">
        <f t="shared" si="10"/>
        <v>14.831310808607581</v>
      </c>
      <c r="F202" s="10">
        <f t="shared" si="11"/>
        <v>0.60832053999999991</v>
      </c>
    </row>
    <row r="203" spans="1:6" x14ac:dyDescent="0.3">
      <c r="A203" s="7">
        <v>1.95</v>
      </c>
      <c r="B203" s="8">
        <f>ABS(0.0000052283991)</f>
        <v>5.2283991000000003E-6</v>
      </c>
      <c r="C203" s="8">
        <f>ABS(-0.000080739855)</f>
        <v>8.0739854999999999E-5</v>
      </c>
      <c r="D203" s="8">
        <f t="shared" si="9"/>
        <v>5.2283991000000003E-7</v>
      </c>
      <c r="E203" s="9">
        <f t="shared" si="10"/>
        <v>15.442557742005578</v>
      </c>
      <c r="F203" s="10">
        <f t="shared" si="11"/>
        <v>0.52283991000000007</v>
      </c>
    </row>
    <row r="204" spans="1:6" x14ac:dyDescent="0.3">
      <c r="A204" s="7">
        <v>1.96</v>
      </c>
      <c r="B204" s="8">
        <f>ABS(0.0000044661649)</f>
        <v>4.4661648999999998E-6</v>
      </c>
      <c r="C204" s="8">
        <f>ABS(-0.000071707924)</f>
        <v>7.1707924000000004E-5</v>
      </c>
      <c r="D204" s="8">
        <f t="shared" si="9"/>
        <v>4.4661648999999998E-7</v>
      </c>
      <c r="E204" s="9">
        <f t="shared" si="10"/>
        <v>16.055816479145228</v>
      </c>
      <c r="F204" s="10">
        <f t="shared" si="11"/>
        <v>0.44661648999999998</v>
      </c>
    </row>
    <row r="205" spans="1:6" x14ac:dyDescent="0.3">
      <c r="A205" s="7">
        <v>1.97</v>
      </c>
      <c r="B205" s="8">
        <f>ABS(0.0000037916764)</f>
        <v>3.7916764E-6</v>
      </c>
      <c r="C205" s="8">
        <f>ABS(-0.000063191099)</f>
        <v>6.3191098999999996E-5</v>
      </c>
      <c r="D205" s="8">
        <f t="shared" si="9"/>
        <v>3.7916763999999999E-7</v>
      </c>
      <c r="E205" s="9">
        <f t="shared" si="10"/>
        <v>16.66574157014032</v>
      </c>
      <c r="F205" s="10">
        <f t="shared" si="11"/>
        <v>0.37916763999999997</v>
      </c>
    </row>
    <row r="206" spans="1:6" x14ac:dyDescent="0.3">
      <c r="A206" s="7">
        <v>1.98</v>
      </c>
      <c r="B206" s="8">
        <f>ABS(0.0000031995027)</f>
        <v>3.1995027000000001E-6</v>
      </c>
      <c r="C206" s="8">
        <f>ABS(-0.000055245286)</f>
        <v>5.5245285999999999E-5</v>
      </c>
      <c r="D206" s="8">
        <f t="shared" si="9"/>
        <v>3.1995027000000003E-7</v>
      </c>
      <c r="E206" s="9">
        <f t="shared" si="10"/>
        <v>17.266835249115431</v>
      </c>
      <c r="F206" s="10">
        <f t="shared" si="11"/>
        <v>0.31995027000000004</v>
      </c>
    </row>
    <row r="207" spans="1:6" x14ac:dyDescent="0.3">
      <c r="A207" s="7">
        <v>1.99</v>
      </c>
      <c r="B207" s="8">
        <f>ABS(0.0000026837139)</f>
        <v>2.6837138999999998E-6</v>
      </c>
      <c r="C207" s="8">
        <f>ABS(-0.000047914349)</f>
        <v>4.7914348999999997E-5</v>
      </c>
      <c r="D207" s="8">
        <f t="shared" si="9"/>
        <v>2.6837138999999997E-7</v>
      </c>
      <c r="E207" s="9">
        <f t="shared" si="10"/>
        <v>17.853747003359786</v>
      </c>
      <c r="F207" s="10">
        <f t="shared" si="11"/>
        <v>0.26837138999999999</v>
      </c>
    </row>
    <row r="208" spans="1:6" x14ac:dyDescent="0.3">
      <c r="A208" s="7">
        <v>2</v>
      </c>
      <c r="B208" s="8">
        <f>ABS(0.0000022380129)</f>
        <v>2.2380129000000002E-6</v>
      </c>
      <c r="C208" s="8">
        <f>ABS(-0.000041227821)</f>
        <v>4.1227821000000003E-5</v>
      </c>
      <c r="D208" s="8">
        <f t="shared" si="9"/>
        <v>2.2380129000000003E-7</v>
      </c>
      <c r="E208" s="9">
        <f t="shared" si="10"/>
        <v>18.421619017477514</v>
      </c>
      <c r="F208" s="10">
        <f t="shared" si="11"/>
        <v>0.22380129000000001</v>
      </c>
    </row>
    <row r="209" spans="1:6" x14ac:dyDescent="0.3">
      <c r="A209" s="7">
        <v>2.0099999999999998</v>
      </c>
      <c r="B209" s="8">
        <f>ABS(0.0000018558857)</f>
        <v>1.8558857000000001E-6</v>
      </c>
      <c r="C209" s="8">
        <f>ABS(-0.00003519956)</f>
        <v>3.5199559999999998E-5</v>
      </c>
      <c r="D209" s="8">
        <f t="shared" si="9"/>
        <v>1.8558857000000001E-7</v>
      </c>
      <c r="E209" s="9">
        <f t="shared" si="10"/>
        <v>18.966448203140956</v>
      </c>
      <c r="F209" s="10">
        <f t="shared" si="11"/>
        <v>0.18558857000000001</v>
      </c>
    </row>
    <row r="210" spans="1:6" x14ac:dyDescent="0.3">
      <c r="A210" s="7">
        <v>2.02</v>
      </c>
      <c r="B210" s="8">
        <f>ABS(0.0000015307593)</f>
        <v>1.5307593E-6</v>
      </c>
      <c r="C210" s="8">
        <f>ABS(-0.000029827496)</f>
        <v>2.9827496000000001E-5</v>
      </c>
      <c r="D210" s="8">
        <f t="shared" si="9"/>
        <v>1.5307593E-7</v>
      </c>
      <c r="E210" s="9">
        <f t="shared" si="10"/>
        <v>19.485425304945071</v>
      </c>
      <c r="F210" s="10">
        <f t="shared" si="11"/>
        <v>0.15307593</v>
      </c>
    </row>
    <row r="211" spans="1:6" x14ac:dyDescent="0.3">
      <c r="A211" s="7">
        <v>2.0299999999999998</v>
      </c>
      <c r="B211" s="8">
        <f>ABS(0.0000012561568)</f>
        <v>1.2561567999999999E-6</v>
      </c>
      <c r="C211" s="8">
        <f>ABS(-0.000025094493)</f>
        <v>2.5094492999999999E-5</v>
      </c>
      <c r="D211" s="8">
        <f t="shared" si="9"/>
        <v>1.2561567999999998E-7</v>
      </c>
      <c r="E211" s="9">
        <f t="shared" si="10"/>
        <v>19.97719791032457</v>
      </c>
      <c r="F211" s="10">
        <f t="shared" si="11"/>
        <v>0.12561567999999998</v>
      </c>
    </row>
    <row r="212" spans="1:6" x14ac:dyDescent="0.3">
      <c r="A212" s="7">
        <v>2.04</v>
      </c>
      <c r="B212" s="8">
        <f>ABS(0.000001025839)</f>
        <v>1.025839E-6</v>
      </c>
      <c r="C212" s="8">
        <f>ABS(-0.000020970199)</f>
        <v>2.0970198999999998E-5</v>
      </c>
      <c r="D212" s="8">
        <f t="shared" si="9"/>
        <v>1.025839E-7</v>
      </c>
      <c r="E212" s="9">
        <f t="shared" si="10"/>
        <v>20.441998208295843</v>
      </c>
      <c r="F212" s="10">
        <f t="shared" si="11"/>
        <v>0.10258389999999999</v>
      </c>
    </row>
    <row r="213" spans="1:6" x14ac:dyDescent="0.3">
      <c r="A213" s="7">
        <v>2.0499999999999998</v>
      </c>
      <c r="B213" s="8">
        <f>ABS(0.00000083392346)</f>
        <v>8.3392346000000005E-7</v>
      </c>
      <c r="C213" s="8">
        <f>ABS(-0.000017413653)</f>
        <v>1.7413653E-5</v>
      </c>
      <c r="D213" s="8">
        <f t="shared" si="9"/>
        <v>8.3392346000000008E-8</v>
      </c>
      <c r="E213" s="9">
        <f t="shared" si="10"/>
        <v>20.881596255848226</v>
      </c>
      <c r="F213" s="10">
        <f t="shared" si="11"/>
        <v>8.3392346000000006E-2</v>
      </c>
    </row>
    <row r="214" spans="1:6" x14ac:dyDescent="0.3">
      <c r="A214" s="7">
        <v>2.06</v>
      </c>
      <c r="B214" s="8">
        <f>ABS(0.00000067497529)</f>
        <v>6.7497529000000004E-7</v>
      </c>
      <c r="C214" s="8">
        <f>ABS(-0.000014376345)</f>
        <v>1.4376345E-5</v>
      </c>
      <c r="D214" s="8">
        <f t="shared" si="9"/>
        <v>6.7497528999999999E-8</v>
      </c>
      <c r="E214" s="9">
        <f t="shared" si="10"/>
        <v>21.299068592570254</v>
      </c>
      <c r="F214" s="10">
        <f t="shared" si="11"/>
        <v>6.7497529000000001E-2</v>
      </c>
    </row>
    <row r="215" spans="1:6" x14ac:dyDescent="0.3">
      <c r="A215" s="7">
        <v>2.0699999999999998</v>
      </c>
      <c r="B215" s="8">
        <f>ABS(0.00000054406687)</f>
        <v>5.4406687E-7</v>
      </c>
      <c r="C215" s="8">
        <f>ABS(-0.000011805364)</f>
        <v>1.1805364E-5</v>
      </c>
      <c r="D215" s="8">
        <f t="shared" si="9"/>
        <v>5.4406687000000002E-8</v>
      </c>
      <c r="E215" s="9">
        <f t="shared" si="10"/>
        <v>21.69836954049417</v>
      </c>
      <c r="F215" s="10">
        <f t="shared" si="11"/>
        <v>5.4406687000000002E-2</v>
      </c>
    </row>
    <row r="216" spans="1:6" x14ac:dyDescent="0.3">
      <c r="A216" s="7">
        <v>2.08</v>
      </c>
      <c r="B216" s="8">
        <f>ABS(0.00000043680698)</f>
        <v>4.3680698000000001E-7</v>
      </c>
      <c r="C216" s="8">
        <f>ABS(-0.0000096463595)</f>
        <v>9.6463595000000006E-6</v>
      </c>
      <c r="D216" s="8">
        <f t="shared" si="9"/>
        <v>4.3680698000000002E-8</v>
      </c>
      <c r="E216" s="9">
        <f t="shared" si="10"/>
        <v>22.083803468525161</v>
      </c>
      <c r="F216" s="10">
        <f t="shared" si="11"/>
        <v>4.3680698000000004E-2</v>
      </c>
    </row>
    <row r="217" spans="1:6" x14ac:dyDescent="0.3">
      <c r="A217" s="7">
        <v>2.09</v>
      </c>
      <c r="B217" s="8">
        <f>ABS(0.00000034934272)</f>
        <v>3.4934272E-7</v>
      </c>
      <c r="C217" s="8">
        <f>ABS(-0.0000078460406)</f>
        <v>7.8460405999999998E-6</v>
      </c>
      <c r="D217" s="8">
        <f t="shared" si="9"/>
        <v>3.4934272000000001E-8</v>
      </c>
      <c r="E217" s="9">
        <f t="shared" si="10"/>
        <v>22.459436395296859</v>
      </c>
      <c r="F217" s="10">
        <f t="shared" si="11"/>
        <v>3.4934272000000002E-2</v>
      </c>
    </row>
    <row r="218" spans="1:6" x14ac:dyDescent="0.3">
      <c r="A218" s="7">
        <v>2.1</v>
      </c>
      <c r="B218" s="8">
        <f>ABS(0.00000027833919)</f>
        <v>2.7833919000000002E-7</v>
      </c>
      <c r="C218" s="8">
        <f>ABS(-0.0000063540915)</f>
        <v>6.3540914999999999E-6</v>
      </c>
      <c r="D218" s="8">
        <f t="shared" si="9"/>
        <v>2.7833919E-8</v>
      </c>
      <c r="E218" s="9">
        <f t="shared" si="10"/>
        <v>22.828590900189081</v>
      </c>
      <c r="F218" s="10">
        <f t="shared" si="11"/>
        <v>2.7833918999999999E-2</v>
      </c>
    </row>
    <row r="219" spans="1:6" x14ac:dyDescent="0.3">
      <c r="A219" s="7">
        <v>2.11</v>
      </c>
      <c r="B219" s="8">
        <f>ABS(0.00000022094338)</f>
        <v>2.2094338E-7</v>
      </c>
      <c r="C219" s="8">
        <f>ABS(-0.0000051244439)</f>
        <v>5.1244439E-6</v>
      </c>
      <c r="D219" s="8">
        <f t="shared" si="9"/>
        <v>2.2094338000000001E-8</v>
      </c>
      <c r="E219" s="9">
        <f t="shared" si="10"/>
        <v>23.193471105583704</v>
      </c>
      <c r="F219" s="10">
        <f t="shared" si="11"/>
        <v>2.2094338000000002E-2</v>
      </c>
    </row>
    <row r="220" spans="1:6" x14ac:dyDescent="0.3">
      <c r="A220" s="7">
        <v>2.12</v>
      </c>
      <c r="B220" s="8">
        <f>ABS(0.00000017473822)</f>
        <v>1.7473821999999999E-7</v>
      </c>
      <c r="C220" s="8">
        <f>ABS(-0.0000041159576)</f>
        <v>4.1159576000000004E-6</v>
      </c>
      <c r="D220" s="8">
        <f t="shared" si="9"/>
        <v>1.7473821999999998E-8</v>
      </c>
      <c r="E220" s="9">
        <f t="shared" si="10"/>
        <v>23.554993292251694</v>
      </c>
      <c r="F220" s="10">
        <f t="shared" si="11"/>
        <v>1.7473821999999996E-2</v>
      </c>
    </row>
    <row r="221" spans="1:6" x14ac:dyDescent="0.3">
      <c r="A221" s="7">
        <v>2.13</v>
      </c>
      <c r="B221" s="8">
        <f>ABS(0.00000013769239)</f>
        <v>1.3769239E-7</v>
      </c>
      <c r="C221" s="8">
        <f>ABS(-0.0000032926124)</f>
        <v>3.2926124000000001E-6</v>
      </c>
      <c r="D221" s="8">
        <f t="shared" si="9"/>
        <v>1.3769238999999999E-8</v>
      </c>
      <c r="E221" s="9">
        <f t="shared" si="10"/>
        <v>23.91281319178206</v>
      </c>
      <c r="F221" s="10">
        <f t="shared" si="11"/>
        <v>1.3769238999999999E-2</v>
      </c>
    </row>
    <row r="222" spans="1:6" x14ac:dyDescent="0.3">
      <c r="A222" s="7">
        <v>2.14</v>
      </c>
      <c r="B222" s="8">
        <f>ABS(0.00000010810992)</f>
        <v>1.0810991999999999E-7</v>
      </c>
      <c r="C222" s="8">
        <f>ABS(-0.0000026233431)</f>
        <v>2.6233431E-6</v>
      </c>
      <c r="D222" s="8">
        <f t="shared" si="9"/>
        <v>1.0810991999999999E-8</v>
      </c>
      <c r="E222" s="9">
        <f t="shared" si="10"/>
        <v>24.265516984935335</v>
      </c>
      <c r="F222" s="10">
        <f t="shared" si="11"/>
        <v>1.0810991999999998E-2</v>
      </c>
    </row>
    <row r="223" spans="1:6" x14ac:dyDescent="0.3">
      <c r="A223" s="7">
        <v>2.15</v>
      </c>
      <c r="B223" s="8">
        <f>ABS(0.000000084582534)</f>
        <v>8.4582534000000001E-8</v>
      </c>
      <c r="C223" s="8">
        <f>ABS(-0.0000020816561)</f>
        <v>2.0816560999999999E-6</v>
      </c>
      <c r="D223" s="8">
        <f t="shared" si="9"/>
        <v>8.4582534000000001E-9</v>
      </c>
      <c r="E223" s="9">
        <f t="shared" si="10"/>
        <v>24.610945091808198</v>
      </c>
      <c r="F223" s="10">
        <f t="shared" si="11"/>
        <v>8.4582534000000008E-3</v>
      </c>
    </row>
    <row r="224" spans="1:6" x14ac:dyDescent="0.3">
      <c r="A224" s="7">
        <v>2.16</v>
      </c>
      <c r="B224" s="8">
        <f>ABS(0.000000065946508)</f>
        <v>6.5946508000000003E-8</v>
      </c>
      <c r="C224" s="8">
        <f>ABS(-0.0000016451353)</f>
        <v>1.6451353000000001E-6</v>
      </c>
      <c r="D224" s="8">
        <f t="shared" si="9"/>
        <v>6.5946508E-9</v>
      </c>
      <c r="E224" s="9">
        <f t="shared" si="10"/>
        <v>24.946511193587384</v>
      </c>
      <c r="F224" s="10">
        <f t="shared" si="11"/>
        <v>6.5946507999999999E-3</v>
      </c>
    </row>
    <row r="225" spans="1:6" x14ac:dyDescent="0.3">
      <c r="A225" s="7">
        <v>2.17</v>
      </c>
      <c r="B225" s="8">
        <f>ABS(0.000000051244433)</f>
        <v>5.1244433000000001E-8</v>
      </c>
      <c r="C225" s="8">
        <f>ABS(-0.0000012949246)</f>
        <v>1.2949246E-6</v>
      </c>
      <c r="D225" s="8">
        <f t="shared" si="9"/>
        <v>5.1244433E-9</v>
      </c>
      <c r="E225" s="9">
        <f t="shared" si="10"/>
        <v>25.269566354651634</v>
      </c>
      <c r="F225" s="10">
        <f t="shared" si="11"/>
        <v>5.1244432999999999E-3</v>
      </c>
    </row>
    <row r="226" spans="1:6" x14ac:dyDescent="0.3">
      <c r="A226" s="7">
        <v>2.1800000000000002</v>
      </c>
      <c r="B226" s="8">
        <f>ABS(0.000000039692138)</f>
        <v>3.9692138E-8</v>
      </c>
      <c r="C226" s="8">
        <f>ABS(-0.0000010152314)</f>
        <v>1.0152314E-6</v>
      </c>
      <c r="D226" s="8">
        <f t="shared" si="9"/>
        <v>3.9692138000000002E-9</v>
      </c>
      <c r="E226" s="9">
        <f t="shared" si="10"/>
        <v>25.577644620705492</v>
      </c>
      <c r="F226" s="10">
        <f t="shared" si="11"/>
        <v>3.9692138000000004E-3</v>
      </c>
    </row>
    <row r="227" spans="1:6" x14ac:dyDescent="0.3">
      <c r="A227" s="7">
        <v>2.19</v>
      </c>
      <c r="B227" s="8">
        <f>ABS(0.000000030650283)</f>
        <v>3.0650283000000001E-8</v>
      </c>
      <c r="C227" s="8">
        <f>ABS(-0.00000079288189)</f>
        <v>7.9288189000000002E-7</v>
      </c>
      <c r="D227" s="8">
        <f t="shared" si="9"/>
        <v>3.0650283E-9</v>
      </c>
      <c r="E227" s="9">
        <f t="shared" si="10"/>
        <v>25.868664573178656</v>
      </c>
      <c r="F227" s="10">
        <f t="shared" si="11"/>
        <v>3.0650283000000001E-3</v>
      </c>
    </row>
    <row r="228" spans="1:6" x14ac:dyDescent="0.3">
      <c r="A228" s="7">
        <v>2.2000000000000002</v>
      </c>
      <c r="B228" s="8">
        <f>ABS(0.000000023600121)</f>
        <v>2.3600120999999998E-8</v>
      </c>
      <c r="C228" s="8">
        <f>ABS(-0.00000061693178)</f>
        <v>6.1693177999999995E-7</v>
      </c>
      <c r="D228" s="8">
        <f t="shared" si="9"/>
        <v>2.3600120999999998E-9</v>
      </c>
      <c r="E228" s="9">
        <f t="shared" si="10"/>
        <v>26.141043090414662</v>
      </c>
      <c r="F228" s="10">
        <f t="shared" si="11"/>
        <v>2.3600120999999999E-3</v>
      </c>
    </row>
    <row r="229" spans="1:6" x14ac:dyDescent="0.3">
      <c r="A229" s="7">
        <v>2.21</v>
      </c>
      <c r="B229" s="8">
        <f>ABS(0.000000018122884)</f>
        <v>1.8122883999999999E-8</v>
      </c>
      <c r="C229" s="8">
        <f>ABS(-0.00000047833071)</f>
        <v>4.7833070999999995E-7</v>
      </c>
      <c r="D229" s="8">
        <f t="shared" si="9"/>
        <v>1.8122883999999999E-9</v>
      </c>
      <c r="E229" s="9">
        <f t="shared" si="10"/>
        <v>26.39374119483411</v>
      </c>
      <c r="F229" s="10">
        <f t="shared" si="11"/>
        <v>1.8122883999999999E-3</v>
      </c>
    </row>
    <row r="230" spans="1:6" x14ac:dyDescent="0.3">
      <c r="A230" s="7">
        <v>2.2200000000000002</v>
      </c>
      <c r="B230" s="8">
        <f>ABS(0.000000013882286)</f>
        <v>1.3882286E-8</v>
      </c>
      <c r="C230" s="8">
        <f>ABS(-0.0000003696329)</f>
        <v>3.6963289999999999E-7</v>
      </c>
      <c r="D230" s="8">
        <f t="shared" si="9"/>
        <v>1.3882286E-9</v>
      </c>
      <c r="E230" s="9">
        <f t="shared" si="10"/>
        <v>26.626227121383323</v>
      </c>
      <c r="F230" s="10">
        <f t="shared" si="11"/>
        <v>1.3882286E-3</v>
      </c>
    </row>
    <row r="231" spans="1:6" x14ac:dyDescent="0.3">
      <c r="A231" s="7">
        <v>2.23</v>
      </c>
      <c r="B231" s="8">
        <f>ABS(0.000000010609726)</f>
        <v>1.0609726000000001E-8</v>
      </c>
      <c r="C231" s="8">
        <f>ABS(-0.00000028474844)</f>
        <v>2.8474844000000001E-7</v>
      </c>
      <c r="D231" s="8">
        <f t="shared" si="9"/>
        <v>1.0609726000000001E-9</v>
      </c>
      <c r="E231" s="9">
        <f t="shared" si="10"/>
        <v>26.838434847422072</v>
      </c>
      <c r="F231" s="10">
        <f t="shared" si="11"/>
        <v>1.0609726000000001E-3</v>
      </c>
    </row>
    <row r="232" spans="1:6" x14ac:dyDescent="0.3">
      <c r="A232" s="7">
        <v>2.2400000000000002</v>
      </c>
      <c r="B232" s="8">
        <f>ABS(0.0000000080918041)</f>
        <v>8.0918040999999994E-9</v>
      </c>
      <c r="C232" s="8">
        <f>ABS(-0.00000021872692)</f>
        <v>2.1872692E-7</v>
      </c>
      <c r="D232" s="8">
        <f t="shared" si="9"/>
        <v>8.0918040999999996E-10</v>
      </c>
      <c r="E232" s="9">
        <f t="shared" si="10"/>
        <v>27.030674160784493</v>
      </c>
      <c r="F232" s="10">
        <f t="shared" si="11"/>
        <v>8.0918040999999994E-4</v>
      </c>
    </row>
    <row r="233" spans="1:6" x14ac:dyDescent="0.3">
      <c r="A233" s="7">
        <v>2.25</v>
      </c>
      <c r="B233" s="8">
        <f>ABS(0.0000000061598703)</f>
        <v>6.1598703000000002E-9</v>
      </c>
      <c r="C233" s="8">
        <f>ABS(-0.00000016756992)</f>
        <v>1.6756992000000001E-7</v>
      </c>
      <c r="D233" s="8">
        <f t="shared" si="9"/>
        <v>6.1598703000000007E-10</v>
      </c>
      <c r="E233" s="9">
        <f t="shared" si="10"/>
        <v>27.203481865519151</v>
      </c>
      <c r="F233" s="10">
        <f t="shared" si="11"/>
        <v>6.1598703000000012E-4</v>
      </c>
    </row>
    <row r="234" spans="1:6" x14ac:dyDescent="0.3">
      <c r="A234" s="7">
        <v>2.2599999999999998</v>
      </c>
      <c r="B234" s="8">
        <f>ABS(0.0000000046813038)</f>
        <v>4.6813037999999999E-9</v>
      </c>
      <c r="C234" s="8">
        <f>ABS(-0.00000012806958)</f>
        <v>1.2806957999999999E-7</v>
      </c>
      <c r="D234" s="8">
        <f t="shared" si="9"/>
        <v>4.6813037999999995E-10</v>
      </c>
      <c r="E234" s="9">
        <f t="shared" si="10"/>
        <v>27.357673304603729</v>
      </c>
      <c r="F234" s="10">
        <f t="shared" si="11"/>
        <v>4.6813037999999998E-4</v>
      </c>
    </row>
    <row r="235" spans="1:6" x14ac:dyDescent="0.3">
      <c r="A235" s="7">
        <v>2.27</v>
      </c>
      <c r="B235" s="8">
        <f>ABS(0.0000000035523174)</f>
        <v>3.5523174E-9</v>
      </c>
      <c r="C235" s="8">
        <f>ABS(-0.000000097667572)</f>
        <v>9.7667571999999994E-8</v>
      </c>
      <c r="D235" s="8">
        <f t="shared" si="9"/>
        <v>3.5523174000000002E-10</v>
      </c>
      <c r="E235" s="9">
        <f t="shared" si="10"/>
        <v>27.494044310342311</v>
      </c>
      <c r="F235" s="10">
        <f t="shared" si="11"/>
        <v>3.5523174000000004E-4</v>
      </c>
    </row>
    <row r="236" spans="1:6" x14ac:dyDescent="0.3">
      <c r="A236" s="7">
        <v>2.2799999999999998</v>
      </c>
      <c r="B236" s="8">
        <f>ABS(0.0000000026920528)</f>
        <v>2.6920528000000001E-9</v>
      </c>
      <c r="C236" s="8">
        <f>ABS(-0.000000074337032)</f>
        <v>7.4337031999999996E-8</v>
      </c>
      <c r="D236" s="8">
        <f t="shared" si="9"/>
        <v>2.6920528000000001E-10</v>
      </c>
      <c r="E236" s="9">
        <f t="shared" si="10"/>
        <v>27.6135118895142</v>
      </c>
      <c r="F236" s="10">
        <f t="shared" si="11"/>
        <v>2.6920528000000003E-4</v>
      </c>
    </row>
    <row r="237" spans="1:6" x14ac:dyDescent="0.3">
      <c r="A237" s="7">
        <v>2.29</v>
      </c>
      <c r="B237" s="8">
        <f>ABS(0.0000000020377705)</f>
        <v>2.0377704999999998E-9</v>
      </c>
      <c r="C237" s="8">
        <f>ABS(-0.000000056480376)</f>
        <v>5.6480376000000001E-8</v>
      </c>
      <c r="D237" s="8">
        <f t="shared" si="9"/>
        <v>2.0377704999999998E-10</v>
      </c>
      <c r="E237" s="9">
        <f t="shared" si="10"/>
        <v>27.716750242483148</v>
      </c>
      <c r="F237" s="10">
        <f t="shared" si="11"/>
        <v>2.0377704999999997E-4</v>
      </c>
    </row>
    <row r="238" spans="1:6" x14ac:dyDescent="0.3">
      <c r="A238" s="7">
        <v>2.2999999999999998</v>
      </c>
      <c r="B238" s="8">
        <f>ABS(0.000000001540985)</f>
        <v>1.5409849999999999E-9</v>
      </c>
      <c r="C238" s="8">
        <f>ABS(-0.000000042846126)</f>
        <v>4.2846125999999999E-8</v>
      </c>
      <c r="D238" s="8">
        <f t="shared" si="9"/>
        <v>1.540985E-10</v>
      </c>
      <c r="E238" s="9">
        <f t="shared" si="10"/>
        <v>27.804375772638931</v>
      </c>
      <c r="F238" s="10">
        <f t="shared" si="11"/>
        <v>1.5409850000000001E-4</v>
      </c>
    </row>
    <row r="239" spans="1:6" x14ac:dyDescent="0.3">
      <c r="A239" s="7">
        <v>2.31</v>
      </c>
      <c r="B239" s="8">
        <f>ABS(0.0000000011643404)</f>
        <v>1.1643404000000001E-9</v>
      </c>
      <c r="C239" s="8">
        <f>ABS(-0.000000032458196)</f>
        <v>3.2458196000000001E-8</v>
      </c>
      <c r="D239" s="8">
        <f t="shared" si="9"/>
        <v>1.1643404000000001E-10</v>
      </c>
      <c r="E239" s="9">
        <f t="shared" si="10"/>
        <v>27.876895794391398</v>
      </c>
      <c r="F239" s="10">
        <f t="shared" si="11"/>
        <v>1.1643404000000001E-4</v>
      </c>
    </row>
    <row r="240" spans="1:6" x14ac:dyDescent="0.3">
      <c r="A240" s="7">
        <v>2.3199999999999998</v>
      </c>
      <c r="B240" s="8">
        <f>ABS(0.00000000087916227)</f>
        <v>8.7916226999999997E-10</v>
      </c>
      <c r="C240" s="8">
        <f>ABS(-0.000000024558361)</f>
        <v>2.4558361E-8</v>
      </c>
      <c r="D240" s="8">
        <f t="shared" si="9"/>
        <v>8.7916226999999992E-11</v>
      </c>
      <c r="E240" s="9">
        <f t="shared" si="10"/>
        <v>27.933820453873665</v>
      </c>
      <c r="F240" s="10">
        <f t="shared" si="11"/>
        <v>8.7916226999999991E-5</v>
      </c>
    </row>
    <row r="241" spans="1:6" x14ac:dyDescent="0.3">
      <c r="A241" s="7">
        <v>2.33</v>
      </c>
      <c r="B241" s="8">
        <f>ABS(0.00000000066348978)</f>
        <v>6.6348978E-10</v>
      </c>
      <c r="C241" s="8">
        <f>ABS(-0.000000018561164)</f>
        <v>1.8561163999999999E-8</v>
      </c>
      <c r="D241" s="8">
        <f t="shared" si="9"/>
        <v>6.6348978E-11</v>
      </c>
      <c r="E241" s="9">
        <f t="shared" si="10"/>
        <v>27.975056375397372</v>
      </c>
      <c r="F241" s="10">
        <f t="shared" si="11"/>
        <v>6.6348978000000004E-5</v>
      </c>
    </row>
    <row r="242" spans="1:6" x14ac:dyDescent="0.3">
      <c r="A242" s="7">
        <v>2.34</v>
      </c>
      <c r="B242" s="8">
        <f>ABS(0.00000000050055003)</f>
        <v>5.0055003000000002E-10</v>
      </c>
      <c r="C242" s="8">
        <f>ABS(-0.000000014015199)</f>
        <v>1.4015199000000001E-8</v>
      </c>
      <c r="D242" s="8">
        <f t="shared" si="9"/>
        <v>5.0055003000000004E-11</v>
      </c>
      <c r="E242" s="9">
        <f t="shared" si="10"/>
        <v>27.99959676358425</v>
      </c>
      <c r="F242" s="10">
        <f t="shared" si="11"/>
        <v>5.0055003000000003E-5</v>
      </c>
    </row>
    <row r="243" spans="1:6" x14ac:dyDescent="0.3">
      <c r="A243" s="7">
        <v>2.35</v>
      </c>
      <c r="B243" s="8">
        <f>ABS(0.00000000037756009)</f>
        <v>3.7756009000000003E-10</v>
      </c>
      <c r="C243" s="8">
        <f>ABS(-0.000000010573736)</f>
        <v>1.0573735999999999E-8</v>
      </c>
      <c r="D243" s="8">
        <f t="shared" si="9"/>
        <v>3.7756009000000004E-11</v>
      </c>
      <c r="E243" s="9">
        <f t="shared" si="10"/>
        <v>28.005438816374895</v>
      </c>
      <c r="F243" s="10">
        <f t="shared" si="11"/>
        <v>3.7756009000000007E-5</v>
      </c>
    </row>
    <row r="244" spans="1:6" x14ac:dyDescent="0.3">
      <c r="A244" s="7">
        <v>2.36</v>
      </c>
      <c r="B244" s="8">
        <f>ABS(0.0000000002848001)</f>
        <v>2.8480010000000002E-10</v>
      </c>
      <c r="C244" s="8">
        <f>ABS(-0.0000000079713159)</f>
        <v>7.9713159000000005E-9</v>
      </c>
      <c r="D244" s="8">
        <f t="shared" si="9"/>
        <v>2.8480010000000001E-11</v>
      </c>
      <c r="E244" s="9">
        <f t="shared" si="10"/>
        <v>27.989161169536107</v>
      </c>
      <c r="F244" s="10">
        <f t="shared" si="11"/>
        <v>2.8480009999999999E-5</v>
      </c>
    </row>
    <row r="245" spans="1:6" x14ac:dyDescent="0.3">
      <c r="A245" s="7">
        <v>2.37</v>
      </c>
      <c r="B245" s="8">
        <f>ABS(0.00000000021488908)</f>
        <v>2.1488908000000001E-10</v>
      </c>
      <c r="C245" s="8">
        <f>ABS(-0.0000000060056518)</f>
        <v>6.0056518E-9</v>
      </c>
      <c r="D245" s="8">
        <f t="shared" si="9"/>
        <v>2.1488908000000001E-11</v>
      </c>
      <c r="E245" s="9">
        <f t="shared" si="10"/>
        <v>27.94768259047877</v>
      </c>
      <c r="F245" s="10">
        <f t="shared" si="11"/>
        <v>2.1488908000000002E-5</v>
      </c>
    </row>
    <row r="246" spans="1:6" x14ac:dyDescent="0.3">
      <c r="A246" s="7">
        <v>2.38</v>
      </c>
      <c r="B246" s="8">
        <f>ABS(0.0000000001622292)</f>
        <v>1.622292E-10</v>
      </c>
      <c r="C246" s="8">
        <f>ABS(-0.0000000045221092)</f>
        <v>4.5221092E-9</v>
      </c>
      <c r="D246" s="8">
        <f t="shared" si="9"/>
        <v>1.6222919999999999E-11</v>
      </c>
      <c r="E246" s="9">
        <f t="shared" si="10"/>
        <v>27.874816617477002</v>
      </c>
      <c r="F246" s="10">
        <f t="shared" si="11"/>
        <v>1.6222919999999998E-5</v>
      </c>
    </row>
    <row r="247" spans="1:6" x14ac:dyDescent="0.3">
      <c r="A247" s="7">
        <v>2.39</v>
      </c>
      <c r="B247" s="8">
        <f>ABS(0.00000000012258684)</f>
        <v>1.2258684E-10</v>
      </c>
      <c r="C247" s="8">
        <f>ABS(-0.0000000034034029)</f>
        <v>3.4034029000000002E-9</v>
      </c>
      <c r="D247" s="8">
        <f t="shared" si="9"/>
        <v>1.2258684E-11</v>
      </c>
      <c r="E247" s="9">
        <f t="shared" si="10"/>
        <v>27.763199540831629</v>
      </c>
      <c r="F247" s="10">
        <f t="shared" si="11"/>
        <v>1.2258684E-5</v>
      </c>
    </row>
    <row r="248" spans="1:6" x14ac:dyDescent="0.3">
      <c r="A248" s="7">
        <v>2.4</v>
      </c>
      <c r="B248" s="8">
        <f>ABS(0.000000000092755433)</f>
        <v>9.2755433000000005E-11</v>
      </c>
      <c r="C248" s="8">
        <f>ABS(-0.0000000025603451)</f>
        <v>2.5603450999999998E-9</v>
      </c>
      <c r="D248" s="8">
        <f t="shared" si="9"/>
        <v>9.2755433000000002E-12</v>
      </c>
      <c r="E248" s="9">
        <f t="shared" si="10"/>
        <v>27.603182015224917</v>
      </c>
      <c r="F248" s="10">
        <f t="shared" si="11"/>
        <v>9.2755433000000003E-6</v>
      </c>
    </row>
    <row r="249" spans="1:6" x14ac:dyDescent="0.3">
      <c r="A249" s="7">
        <v>2.41</v>
      </c>
      <c r="B249" s="8">
        <f>ABS(0.00000000007031868)</f>
        <v>7.0318679999999997E-11</v>
      </c>
      <c r="C249" s="8">
        <f>ABS(-0.000000001925326)</f>
        <v>1.925326E-9</v>
      </c>
      <c r="D249" s="8">
        <f t="shared" si="9"/>
        <v>7.0318679999999997E-12</v>
      </c>
      <c r="E249" s="9">
        <f t="shared" si="10"/>
        <v>27.380007702078593</v>
      </c>
      <c r="F249" s="10">
        <f t="shared" si="11"/>
        <v>7.0318679999999995E-6</v>
      </c>
    </row>
    <row r="250" spans="1:6" x14ac:dyDescent="0.3">
      <c r="A250" s="7">
        <v>2.42</v>
      </c>
      <c r="B250" s="8">
        <f>ABS(0.000000000053447844)</f>
        <v>5.3447844000000003E-11</v>
      </c>
      <c r="C250" s="8">
        <f>ABS(-0.0000000014473607)</f>
        <v>1.4473607000000001E-9</v>
      </c>
      <c r="D250" s="8">
        <f t="shared" si="9"/>
        <v>5.3447844000000003E-12</v>
      </c>
      <c r="E250" s="9">
        <f t="shared" si="10"/>
        <v>27.079870611806157</v>
      </c>
      <c r="F250" s="10">
        <f t="shared" si="11"/>
        <v>5.3447844000000002E-6</v>
      </c>
    </row>
    <row r="251" spans="1:6" x14ac:dyDescent="0.3">
      <c r="A251" s="7">
        <v>2.4300000000000002</v>
      </c>
      <c r="B251" s="8">
        <f>ABS(0.000000000040767389)</f>
        <v>4.0767388999999997E-11</v>
      </c>
      <c r="C251" s="8">
        <f>ABS(-0.0000000010878193)</f>
        <v>1.0878193000000001E-9</v>
      </c>
      <c r="D251" s="8">
        <f t="shared" si="9"/>
        <v>4.0767389E-12</v>
      </c>
      <c r="E251" s="9">
        <f t="shared" si="10"/>
        <v>26.683565631343232</v>
      </c>
      <c r="F251" s="10">
        <f t="shared" si="11"/>
        <v>4.0767389000000004E-6</v>
      </c>
    </row>
    <row r="252" spans="1:6" x14ac:dyDescent="0.3">
      <c r="A252" s="7">
        <v>2.44</v>
      </c>
      <c r="B252" s="8">
        <f>ABS(0.000000000031236552)</f>
        <v>3.1236552E-11</v>
      </c>
      <c r="C252" s="8">
        <f>ABS(-0.00000000081746575)</f>
        <v>8.1746574999999996E-10</v>
      </c>
      <c r="D252" s="8">
        <f t="shared" si="9"/>
        <v>3.1236552000000001E-12</v>
      </c>
      <c r="E252" s="9">
        <f t="shared" si="10"/>
        <v>26.170165964540516</v>
      </c>
      <c r="F252" s="10">
        <f t="shared" si="11"/>
        <v>3.1236552E-6</v>
      </c>
    </row>
    <row r="253" spans="1:6" x14ac:dyDescent="0.3">
      <c r="A253" s="7">
        <v>2.4500000000000002</v>
      </c>
      <c r="B253" s="8">
        <f>ABS(0.000000000024076467)</f>
        <v>2.4076466999999999E-11</v>
      </c>
      <c r="C253" s="8">
        <f>ABS(-0.00000000061395333)</f>
        <v>6.1395332999999998E-10</v>
      </c>
      <c r="D253" s="8">
        <f t="shared" si="9"/>
        <v>2.4076466999999999E-12</v>
      </c>
      <c r="E253" s="9">
        <f t="shared" si="10"/>
        <v>25.500142109720667</v>
      </c>
      <c r="F253" s="10">
        <f t="shared" si="11"/>
        <v>2.4076467E-6</v>
      </c>
    </row>
    <row r="254" spans="1:6" x14ac:dyDescent="0.3">
      <c r="A254" s="7">
        <v>2.46</v>
      </c>
      <c r="B254" s="8">
        <f>ABS(0.000000000018699572)</f>
        <v>1.8699571999999999E-11</v>
      </c>
      <c r="C254" s="8">
        <f>ABS(-0.00000000046099876)</f>
        <v>4.6099876000000002E-10</v>
      </c>
      <c r="D254" s="8">
        <f t="shared" si="9"/>
        <v>1.8699571999999998E-12</v>
      </c>
      <c r="E254" s="9">
        <f t="shared" si="10"/>
        <v>24.652904355244068</v>
      </c>
      <c r="F254" s="10">
        <f t="shared" si="11"/>
        <v>1.8699571999999998E-6</v>
      </c>
    </row>
    <row r="255" spans="1:6" x14ac:dyDescent="0.3">
      <c r="A255" s="7">
        <v>2.4700000000000002</v>
      </c>
      <c r="B255" s="8">
        <f>ABS(0.000000000014661776)</f>
        <v>1.4661775999999999E-11</v>
      </c>
      <c r="C255" s="8">
        <f>ABS(-0.00000000034627571)</f>
        <v>3.4627570999999998E-10</v>
      </c>
      <c r="D255" s="8">
        <f t="shared" si="9"/>
        <v>1.4661775999999999E-12</v>
      </c>
      <c r="E255" s="9">
        <f t="shared" si="10"/>
        <v>23.617582890367444</v>
      </c>
      <c r="F255" s="10">
        <f t="shared" si="11"/>
        <v>1.4661775999999999E-6</v>
      </c>
    </row>
    <row r="256" spans="1:6" x14ac:dyDescent="0.3">
      <c r="A256" s="7">
        <v>2.48</v>
      </c>
      <c r="B256" s="8">
        <f>ABS(0.000000000011628305)</f>
        <v>1.1628305E-11</v>
      </c>
      <c r="C256" s="8">
        <f>ABS(-0.00000000026007686)</f>
        <v>2.6007686000000002E-10</v>
      </c>
      <c r="D256" s="8">
        <f t="shared" si="9"/>
        <v>1.1628305000000001E-12</v>
      </c>
      <c r="E256" s="9">
        <f t="shared" si="10"/>
        <v>22.365844377146971</v>
      </c>
      <c r="F256" s="10">
        <f t="shared" si="11"/>
        <v>1.1628305E-6</v>
      </c>
    </row>
    <row r="257" spans="1:6" x14ac:dyDescent="0.3">
      <c r="A257" s="7">
        <v>2.4900000000000002</v>
      </c>
      <c r="B257" s="8">
        <f>ABS(0.0000000000093509246)</f>
        <v>9.3509245999999993E-12</v>
      </c>
      <c r="C257" s="8">
        <f>ABS(-0.00000000019119369)</f>
        <v>1.9119369000000001E-10</v>
      </c>
      <c r="D257" s="8">
        <f t="shared" si="9"/>
        <v>9.3509245999999989E-13</v>
      </c>
      <c r="E257" s="9">
        <f t="shared" si="10"/>
        <v>20.446501087175918</v>
      </c>
      <c r="F257" s="10">
        <f t="shared" si="11"/>
        <v>9.3509245999999991E-7</v>
      </c>
    </row>
    <row r="258" spans="1:6" x14ac:dyDescent="0.3">
      <c r="A258" s="7">
        <v>2.5</v>
      </c>
      <c r="B258" s="8">
        <f>ABS(0.0000000000076406118)</f>
        <v>7.6406117999999999E-12</v>
      </c>
      <c r="C258" s="8">
        <f>ABS(-0.00000000016095008)</f>
        <v>1.6095007999999999E-10</v>
      </c>
      <c r="D258" s="8">
        <f t="shared" si="9"/>
        <v>7.6406117999999999E-13</v>
      </c>
      <c r="E258" s="9">
        <f t="shared" si="10"/>
        <v>21.065077537377306</v>
      </c>
      <c r="F258" s="10">
        <f t="shared" si="11"/>
        <v>7.6406118000000002E-7</v>
      </c>
    </row>
  </sheetData>
  <mergeCells count="2">
    <mergeCell ref="A1:F1"/>
    <mergeCell ref="A5:F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NMOS</vt:lpstr>
      <vt:lpstr>PMOS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ARMAAN SATAPATHY</cp:lastModifiedBy>
  <cp:revision>1</cp:revision>
  <dcterms:created xsi:type="dcterms:W3CDTF">2026-07-19T03:49:16Z</dcterms:created>
  <dcterms:modified xsi:type="dcterms:W3CDTF">2026-07-19T17:42:19Z</dcterms:modified>
  <dc:language>en-US</dc:language>
</cp:coreProperties>
</file>